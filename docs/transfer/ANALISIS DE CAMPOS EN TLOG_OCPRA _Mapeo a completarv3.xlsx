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D:\TLOG_EXP\Prueba Cierre\19_5_TLOG_Ver_Mayo\"/>
    </mc:Choice>
  </mc:AlternateContent>
  <xr:revisionPtr revIDLastSave="0" documentId="13_ncr:1_{593F8BBD-845E-4172-B1D6-C2969F631881}" xr6:coauthVersionLast="47" xr6:coauthVersionMax="47" xr10:uidLastSave="{00000000-0000-0000-0000-000000000000}"/>
  <bookViews>
    <workbookView xWindow="-96" yWindow="-96" windowWidth="23232" windowHeight="13872" tabRatio="627" firstSheet="2" activeTab="6" xr2:uid="{59E74D06-B930-400F-BB53-F92EA4201161}"/>
  </bookViews>
  <sheets>
    <sheet name="SEQUENCENUMBER" sheetId="7" r:id="rId1"/>
    <sheet name="InventoryReception" sheetId="1" r:id="rId2"/>
    <sheet name="InventoryFiscalDoc" sheetId="2" r:id="rId3"/>
    <sheet name="InventoryReturn" sheetId="3" r:id="rId4"/>
    <sheet name="InventoryAdjusment " sheetId="8" r:id="rId5"/>
    <sheet name="InventoryCount" sheetId="5" r:id="rId6"/>
    <sheet name="InventoryTransfer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5" l="1"/>
  <c r="E51" i="5"/>
  <c r="D51" i="5"/>
  <c r="C51" i="5"/>
  <c r="D26" i="5"/>
  <c r="E26" i="5"/>
  <c r="C26" i="5"/>
  <c r="D22" i="5"/>
  <c r="E22" i="5"/>
  <c r="C22" i="5"/>
  <c r="E22" i="8"/>
  <c r="D22" i="8"/>
  <c r="C22" i="8"/>
  <c r="D25" i="3"/>
  <c r="E25" i="3"/>
  <c r="C25" i="3"/>
  <c r="D24" i="3"/>
  <c r="E24" i="3"/>
  <c r="C24" i="3"/>
  <c r="D22" i="3"/>
  <c r="E22" i="3"/>
  <c r="C22" i="3"/>
  <c r="D21" i="3"/>
  <c r="E21" i="3"/>
  <c r="C21" i="3"/>
  <c r="C43" i="2"/>
  <c r="B57" i="1"/>
  <c r="D56" i="1"/>
  <c r="C56" i="1"/>
  <c r="B56" i="1"/>
  <c r="D55" i="1"/>
  <c r="C55" i="1"/>
  <c r="B55" i="1"/>
  <c r="D29" i="1"/>
  <c r="C29" i="1"/>
  <c r="C26" i="1"/>
  <c r="D26" i="1"/>
  <c r="B26" i="1"/>
  <c r="C25" i="1"/>
  <c r="D25" i="1"/>
  <c r="B25" i="1"/>
  <c r="C23" i="1"/>
  <c r="D23" i="1"/>
  <c r="B23" i="1"/>
  <c r="D21" i="1"/>
  <c r="C21" i="1"/>
</calcChain>
</file>

<file path=xl/sharedStrings.xml><?xml version="1.0" encoding="utf-8"?>
<sst xmlns="http://schemas.openxmlformats.org/spreadsheetml/2006/main" count="1398" uniqueCount="381">
  <si>
    <t>TLOG_OCPRA_CABECERA</t>
  </si>
  <si>
    <t>RETAILSTOREID</t>
  </si>
  <si>
    <t>APIES EESS</t>
  </si>
  <si>
    <t>WORKSTATIONID</t>
  </si>
  <si>
    <t>PDV (0 ES EL BME)</t>
  </si>
  <si>
    <t>SEQUENCENUMBER</t>
  </si>
  <si>
    <t xml:space="preserve">NUMERO DE SECUENCIA REGISTRO </t>
  </si>
  <si>
    <t>BUSINESSDAYDATE</t>
  </si>
  <si>
    <t>FECHA CONTABLE (PERIODO)</t>
  </si>
  <si>
    <t>DEBE SER OBTENIDO DEL WS DE PERIODOS Y TURNOS EN BRIDGE</t>
  </si>
  <si>
    <t>PERIODO</t>
  </si>
  <si>
    <t>?</t>
  </si>
  <si>
    <t xml:space="preserve">VALIDAR CON EMMA </t>
  </si>
  <si>
    <t>SUBPERIOD</t>
  </si>
  <si>
    <t>PERIODCODE</t>
  </si>
  <si>
    <t xml:space="preserve">PERIODO </t>
  </si>
  <si>
    <t>SUBPERIODCODE</t>
  </si>
  <si>
    <t>TURNO</t>
  </si>
  <si>
    <t>BENGINDATETIME</t>
  </si>
  <si>
    <t>INICIO REGISTRO OPERACIÓN USUARIO</t>
  </si>
  <si>
    <t>ENDDATETIME</t>
  </si>
  <si>
    <t>FIN REGISTRO OPERACIÓN USUARIO</t>
  </si>
  <si>
    <t>OPERATORID</t>
  </si>
  <si>
    <t>USUARIO GENERO REGISTRO</t>
  </si>
  <si>
    <t>SERIALFORMID</t>
  </si>
  <si>
    <t>DOCUMENTTYPECODE "INVENTORYRECEPTION"</t>
  </si>
  <si>
    <t>TIPO DE DOCUMENTO DE INVENTARIO</t>
  </si>
  <si>
    <t>INVENTORYCONTROLDOCUMENTSTATE</t>
  </si>
  <si>
    <t>ESTADO DEL DOCUMENTO</t>
  </si>
  <si>
    <t>VALIDAR YA QUE EL CAMPO ESTA DENTRO DEL TLOG PERO EN EL BMC TAMBIEN APARECE EN EL CAMPO SEQUENCE EN FORMATO "SEQUENCE - ESTADO"</t>
  </si>
  <si>
    <t>CONTRACREFERENCENUMBER</t>
  </si>
  <si>
    <t>CREATEDATETIMESTAMP</t>
  </si>
  <si>
    <t>TIENE EL MISMO DATO QUE INICIO DE REGISTRO CON FORMATO MILISEGUNDO</t>
  </si>
  <si>
    <t>DESTINATIONRETAILSTOREID</t>
  </si>
  <si>
    <t>NO SE USA  EN ESTE DOCUMENTO</t>
  </si>
  <si>
    <t>NO SE USA EN ESTE DOCUMENTO</t>
  </si>
  <si>
    <t>EXPECTEDDELIVERYDATE</t>
  </si>
  <si>
    <t>ICDAMOUNT</t>
  </si>
  <si>
    <t>COSTO TOTAL DE LA RECEPCIÓN</t>
  </si>
  <si>
    <t>LASTUPDATEDATE</t>
  </si>
  <si>
    <t>SOURCERETAILSTORE</t>
  </si>
  <si>
    <t>SUPPLIER</t>
  </si>
  <si>
    <t>CODIGO PROVEEDOR</t>
  </si>
  <si>
    <t>ORDERDOCUMENTTYPE</t>
  </si>
  <si>
    <t>USUARIO</t>
  </si>
  <si>
    <t>ICDQUANTITY</t>
  </si>
  <si>
    <t>ICDTOTSALESAMOUNT</t>
  </si>
  <si>
    <t>FREQUENCY</t>
  </si>
  <si>
    <t>INVENTORYADJUSTMENTTYPE</t>
  </si>
  <si>
    <t>RECEIPTNUMBER</t>
  </si>
  <si>
    <t>FISCALRECEIPTFLAG</t>
  </si>
  <si>
    <t>FLAG VALIDAR TIPO REMITO (TRUE O FALSE) EN CASO DE INVENTORYRECEPTION ES TRUE</t>
  </si>
  <si>
    <t>RECEIPTTYPE</t>
  </si>
  <si>
    <t>RECEIPTDATE</t>
  </si>
  <si>
    <t>FECHA COMPROBANTE (CARGA MANUAL)</t>
  </si>
  <si>
    <t>CAINUMBER</t>
  </si>
  <si>
    <t>CAIDATE</t>
  </si>
  <si>
    <t>PAGESQUANTITY</t>
  </si>
  <si>
    <t>NETAMOUNT</t>
  </si>
  <si>
    <t>EXEMPTAMOUNT</t>
  </si>
  <si>
    <t>TAXAMOUNT</t>
  </si>
  <si>
    <t>VATAMOUNT</t>
  </si>
  <si>
    <t>SERVICESVATAMOUNT</t>
  </si>
  <si>
    <t>DIFFERENCIALVATAMOUNT</t>
  </si>
  <si>
    <t>IVATAXAMOUNT</t>
  </si>
  <si>
    <t>IIBBTAXAMOUNT</t>
  </si>
  <si>
    <t>TOTALAMOUNT</t>
  </si>
  <si>
    <t>TLOG_OCPRA_DETALLE</t>
  </si>
  <si>
    <t>DET_SEQUENCENUMBER</t>
  </si>
  <si>
    <t>SEQUENCE ENUMARACIÓN DE ITEMS DENTRO DE LA RECEPCIÓN</t>
  </si>
  <si>
    <t>ITEM</t>
  </si>
  <si>
    <t>SKU / CODIGO DE ARTICULO</t>
  </si>
  <si>
    <t>UOMUNITS</t>
  </si>
  <si>
    <t>CODIGO DE UNIDAD DE MEDIDA</t>
  </si>
  <si>
    <t>ITEMBRAND</t>
  </si>
  <si>
    <t>MARCA</t>
  </si>
  <si>
    <t>ITEMDESCRIPTION</t>
  </si>
  <si>
    <t>DESCRIPCIÓN ARTICULO</t>
  </si>
  <si>
    <t>UNITBASECOSTAMOUNT</t>
  </si>
  <si>
    <t>UNITCOUNT</t>
  </si>
  <si>
    <t>DESTINATIONLOCATION</t>
  </si>
  <si>
    <t>SOURCELOCATION</t>
  </si>
  <si>
    <t>COSTTOTALAMOUNT</t>
  </si>
  <si>
    <t>UNITSALESAMOUNT</t>
  </si>
  <si>
    <t>SALESTOTALAMOUNT</t>
  </si>
  <si>
    <t>STOCK</t>
  </si>
  <si>
    <t>DAILYAVERAGESALES</t>
  </si>
  <si>
    <t>SUGGESTEDPURCHASEORDER</t>
  </si>
  <si>
    <t>PICKUPCODE</t>
  </si>
  <si>
    <t>DIFBME_ASNTYPEID</t>
  </si>
  <si>
    <t>COSTO UNITARIO ARTICULO</t>
  </si>
  <si>
    <t>CANTIDAD RECIBIDA</t>
  </si>
  <si>
    <t>PRECIO VENTA ARTICULO</t>
  </si>
  <si>
    <t>PRECIO TOTAL VENTA ARTICULO RECEPCIÓN</t>
  </si>
  <si>
    <t>COSTO TOTAL ARTICULO RECEPCIÓN</t>
  </si>
  <si>
    <t>SIEMPRE SE CARGA EN CERO</t>
  </si>
  <si>
    <t>TLOG DOCUMENTO FISCAL (SE REALIZA CON LA IMPUTACIÓN DE LA FACTURA)</t>
  </si>
  <si>
    <t>FLAG VALIDAR TIPO REMITO (TRUE O FALSE) EN CASO DE INVENTORYFISCALDOC ES FALSE</t>
  </si>
  <si>
    <t>LOS TIPO SON FC (FACTURA) O NC (NOTA DE CREDITO) SEGÚN LA OPERACIÓN</t>
  </si>
  <si>
    <t>TOTAL DE LA FC/NC</t>
  </si>
  <si>
    <t>PERCEPCIONES IIBB FC/NC</t>
  </si>
  <si>
    <t>IVA SERVICIOS - VALIDAR</t>
  </si>
  <si>
    <t>IVA DIFERENCIAL -  VALIDAR</t>
  </si>
  <si>
    <t>PERCEPCIÓN DE IVA -  VALIDAR</t>
  </si>
  <si>
    <t>IVA BASE</t>
  </si>
  <si>
    <t xml:space="preserve">IMPUESTO INTERNO </t>
  </si>
  <si>
    <t>VALOR EXENTO IVA  - VALIDAR</t>
  </si>
  <si>
    <t xml:space="preserve">VALOR NETO </t>
  </si>
  <si>
    <t xml:space="preserve">CANTIDAD DE HOJAS - VALIDAR </t>
  </si>
  <si>
    <t>FECHA VENCIMIENTO CAI</t>
  </si>
  <si>
    <t>NUMERO CAI</t>
  </si>
  <si>
    <t>TLOG_OCPRA _DETALLE</t>
  </si>
  <si>
    <t>ESTADO DEL DOCUMENTO = 4</t>
  </si>
  <si>
    <t>TLOG DEVOLUCIÓN DE MERCADERIA PROVEEDOR (SE ASOCIA CON UN INVENTORYFISCALDOC (NC)</t>
  </si>
  <si>
    <t>TLOG RECEPCIÓN  - ESTADOS 7 - 4 - SE ASOCIA CON UN INVENTORYFISCALDOC (FC)</t>
  </si>
  <si>
    <t>DOCUMENTTYPECODE "INVENTORYRETURN"</t>
  </si>
  <si>
    <t>ESTADO DEL DOCUMENTO (EN CASO DE RETURN MANEJA DOS ESTADO 4 Y 7)</t>
  </si>
  <si>
    <t>MISMO DATO QUE EL RETAILSTOREID</t>
  </si>
  <si>
    <t>COSTO TOTAL DE LA DEVOLUCION</t>
  </si>
  <si>
    <t>FLAG VALIDAR TIPO DEVOLUCIÓN - EN TRUE APARECEN LAS DE ESTADO 7 (PENDIENTE DE IMPUTACIÓN) Y EN FALSE LAS DE ESTADO 4 (CERRADO)</t>
  </si>
  <si>
    <t>FECHA ESPERA ENTREGA (CARGA MANUAL)</t>
  </si>
  <si>
    <t>VALIDAR CON EL NEGOCIO</t>
  </si>
  <si>
    <t>VER EJEMPLO DE TLOG EN EL DOCUMENTO "TLOG INVENTORY RETURN.txt"</t>
  </si>
  <si>
    <t>SEQUENCE ENUMARACIÓN DE ITEMS DENTRO DE LA DEVOLUCION</t>
  </si>
  <si>
    <t>COSTO TOTAL ARTICULO DEVOLUCION</t>
  </si>
  <si>
    <t>PRECIO TOTAL VENTA ARTICULO DEVOLUCION</t>
  </si>
  <si>
    <t>ESTADO DEL DOCUMENTO (A DIFERENCIA DE LA RECEPCIÓN ACA SOLO SE VE EL REGISTRO DE UN UNICO ESTADO (4 O 7)</t>
  </si>
  <si>
    <t>TLOG AJUSTE DE INVENTARIO (RELACIONADO AL CONTEO DE INVENTARIO - INVENTORYCOUNT)</t>
  </si>
  <si>
    <t>DOCUMENTTYPECODE "INVENTORYADJUSTMENT"</t>
  </si>
  <si>
    <t>ESTADO DEL DOCUMENTO (EN CASO LOS AJUSTES ES EL CODIGO 2)</t>
  </si>
  <si>
    <t>DESCRIPCIÓN DEL AJUSTE</t>
  </si>
  <si>
    <t>MISMO VALOR QUE RETAILSTOREID</t>
  </si>
  <si>
    <t xml:space="preserve">COSTO TOTAL DEL AJUSTE/MERMA </t>
  </si>
  <si>
    <t>EN NULL PARA AJUSTES/MERMAS</t>
  </si>
  <si>
    <t>TIPO DE AJUSTE (AJUSTE / MERMA)</t>
  </si>
  <si>
    <t>UNJUSTIFIED_ADJUSTMENTS - UNJUSTIFIED_DEPLETIONS - CORRECTIVE_ADJUSTMENT - JUSTIFIED_ADJUSTMENTS - JUSTIFIED_DEPLETIONS</t>
  </si>
  <si>
    <t>SIEMPRE EN FALSE</t>
  </si>
  <si>
    <t>FECHA CREACION (CARGA MANUAL)</t>
  </si>
  <si>
    <t>CANTIDAD AJUSTAR</t>
  </si>
  <si>
    <t xml:space="preserve">COSTO TOTAL ARTICULO AJUSTE </t>
  </si>
  <si>
    <t>PRECIO VENTA ARTICULO AJUSTE</t>
  </si>
  <si>
    <t>PRECIO TOTAL VENTA ARTICULO AJUSTE</t>
  </si>
  <si>
    <t>MARCA DE STOCK DEL ARTICULO A AJUSTAR (S1 MANEJA STOCK - S2 NO MANEJA STOCK)</t>
  </si>
  <si>
    <t>ESTADO DEL DOCUMENTO / PARA AJUSTES ES VALOR 2</t>
  </si>
  <si>
    <t>VER EJEMPLO DE TLOG EN EL DOCUMENTO "TLOG INVENTORY ADJUSTMENT.txt"</t>
  </si>
  <si>
    <t>TLOG CONTEO DE INVENTARIO (RELACIÓN CON INVENTORYADJUSTMENT)</t>
  </si>
  <si>
    <t>ESTADO DEL DOCUMENTO (EN CASO LOS CONTEO ES EL CODIGO 4)</t>
  </si>
  <si>
    <t>DESCRIPCIÓN DEL CONTEO</t>
  </si>
  <si>
    <t>COSTO TOTAL DEL CONTEO</t>
  </si>
  <si>
    <t>TIPO DE AJUSTE (AJUSTE)</t>
  </si>
  <si>
    <t>JUSTIFIED_ADJUSTMENTS - UNJUSTIFIED_ADJUSTMENTS - CORRECTIVE_ADJUSTMENT</t>
  </si>
  <si>
    <t>EN NULL PARA CONTEO</t>
  </si>
  <si>
    <t>STOCK REAL</t>
  </si>
  <si>
    <t>STOCK TEORICO INICIAL</t>
  </si>
  <si>
    <t>COSTO TOTAL ARTICULO CONTEO (VIAJA EL MISMO QUE ARTICULO UNITARIO)</t>
  </si>
  <si>
    <t>PRECIO VENTA ARTICULO UNITARIO CONTEO</t>
  </si>
  <si>
    <t>FECHA DE FIN REGISTRO OPERACIÓN USUARIO</t>
  </si>
  <si>
    <t>ESTADO DEL DOCUMENTO / PARA AJUSTES ES VALOR 4</t>
  </si>
  <si>
    <t>VER EJEMPLO DE TLOG EN EL DOCUMENTO "TLOG INVENTORY COUNT.txt"</t>
  </si>
  <si>
    <t xml:space="preserve">TLOG TRANSFERENCIA DE ARTICULOS </t>
  </si>
  <si>
    <t>DOCUMENTTYPECODE "INVENTORYTRANSFER"</t>
  </si>
  <si>
    <t>ESTADO DEL DOCUMENTO (EN CASO LAS TRANSFERENCIAS ES EL CODIGO 2)</t>
  </si>
  <si>
    <t>VIENE EN NULL EN TRANSFERENCIAS</t>
  </si>
  <si>
    <t>RETAILSTOREID DE LA EESS DESTINO</t>
  </si>
  <si>
    <t>MONTO TOTAL DE COSTO TRANSFERIDO</t>
  </si>
  <si>
    <t>USUARIO GENERO ORIGEN TRANSFERENCIA</t>
  </si>
  <si>
    <t>CANTIDAD A TRANSFERIR</t>
  </si>
  <si>
    <t>COSTO TOTAL ARTICULOS A TRANSFERIR</t>
  </si>
  <si>
    <t>PRECIO VENTA ARTICULO UNITARIO</t>
  </si>
  <si>
    <t>PRECIO VENTA TOTAL ARTICULOS A TRANSFERIR</t>
  </si>
  <si>
    <t>PARA LAS TRANSFERENCIAS ES CERO</t>
  </si>
  <si>
    <t>VER EJEMPLO DE TLOG EN EL DOCUMENTO "TLOG INVENTORY TRANSFER.txt"</t>
  </si>
  <si>
    <t>0</t>
  </si>
  <si>
    <t>No lo ingresa al HO este dato</t>
  </si>
  <si>
    <t>ESTADO DEL DOCUMENTO (EN CASO DE RECEPTION MANEJA DOS ESTADO 4 Y 7) = "4" o "7"</t>
  </si>
  <si>
    <t>OK: VALIDAR YA QUE EL CAMPO ESTA DENTRO DEL TLOG PERO EN EL BMC TAMBIEN APARECE EN EL CAMPO SEQUENCE EN FORMATO "SEQUENCE - ESTADO"</t>
  </si>
  <si>
    <t>OK</t>
  </si>
  <si>
    <t>NULL</t>
  </si>
  <si>
    <t>"REPLICADO"</t>
  </si>
  <si>
    <t>ESTADO</t>
  </si>
  <si>
    <t>IDEM CABECERA</t>
  </si>
  <si>
    <t>Numerico Longitud (3). A partir de 1 para cada Documento</t>
  </si>
  <si>
    <t>Bridge</t>
  </si>
  <si>
    <t>Longitud 11</t>
  </si>
  <si>
    <t>Longitud 4</t>
  </si>
  <si>
    <t>SU</t>
  </si>
  <si>
    <t>Longitud 12</t>
  </si>
  <si>
    <t>Longitud 3</t>
  </si>
  <si>
    <t>Se usa el SEQUENCE de Bridge</t>
  </si>
  <si>
    <t xml:space="preserve">OCPRA: </t>
  </si>
  <si>
    <t xml:space="preserve">CIERRE: </t>
  </si>
  <si>
    <t>Idem InventoryReception</t>
  </si>
  <si>
    <t>DOCUMENTTYPECODE "INVENTORYFISCALDOC"</t>
  </si>
  <si>
    <t>VALIDAR CON NAPSE (TLOG.DIFFERENCIALVATAMOUNT * 10000 AS IMPIVACZ_CFAC)</t>
  </si>
  <si>
    <t>VIAJA NULL</t>
  </si>
  <si>
    <t>VALIDAR CON NEGOCIO SI SE HACE OPERATIVAMENTE CUANDO SE REALIZA UN AJUSTE SE HACE UN COUNT</t>
  </si>
  <si>
    <t>Ver con Negocio cuando queda en Estado 7 y cuando pasa a estado 4</t>
  </si>
  <si>
    <t>Depósito OPESSA</t>
  </si>
  <si>
    <t>Valor: "DEP1_OS"</t>
  </si>
  <si>
    <r>
      <t xml:space="preserve">Se puede repertir pero para conocer la Tx se compone x "APIES||PosID||NroDeSecuencia"
</t>
    </r>
    <r>
      <rPr>
        <sz val="11"/>
        <color rgb="FFFF0000"/>
        <rFont val="Aptos Narrow"/>
        <family val="2"/>
        <scheme val="minor"/>
      </rPr>
      <t>Revisar si se puede poner un PosID Diferente a "0"
No se puede Duplicar 
Longitud máxima de SEQUENCENUMBER y DET_SEQUENCENUMBER = 15 Numérico!!!!!!!!!!!</t>
    </r>
    <r>
      <rPr>
        <sz val="11"/>
        <color theme="1"/>
        <rFont val="Aptos Narrow"/>
        <family val="2"/>
        <scheme val="minor"/>
      </rPr>
      <t xml:space="preserve">
SEQUENCENUMBER Numérico Log (12) comenzando por 900000000001 || DET_SEQUENCENUMBER Numérico (3) (del 1 al 999 por cada Documento = DETFACTURAS.NROSECUENCIA_DFAC (Numerico (15))
Chequear con Damian Affre si tiene impacto en el HO. 
</t>
    </r>
    <r>
      <rPr>
        <sz val="11"/>
        <color rgb="FFFF0000"/>
        <rFont val="Aptos Narrow"/>
        <family val="2"/>
        <scheme val="minor"/>
      </rPr>
      <t xml:space="preserve">ACLARAR: LA FACTURA DEL PROVEEDOR NO PUEDE TENER MAS DE 999 Ítems!!!!!!!!!!! </t>
    </r>
    <r>
      <rPr>
        <b/>
        <sz val="11"/>
        <color rgb="FFFF0000"/>
        <rFont val="Aptos Narrow"/>
        <family val="2"/>
        <scheme val="minor"/>
      </rPr>
      <t>==&gt; VALIDAR CON EL NEGOCIO!!!!!!!!!!!!!!!! 12/2; OK</t>
    </r>
  </si>
  <si>
    <t>FORMATO ARCA: A/X/C-00000-00000000</t>
  </si>
  <si>
    <t xml:space="preserve">NUMERO DE REMITO (X) /FACTURA (A o C) /NOTA DE CREDITO (A)  </t>
  </si>
  <si>
    <t>NO se carga, se obtiene del Maestro de Artículos</t>
  </si>
  <si>
    <t>VALIDAR SI ES PREVIO  A LA CANTIDAD AJUSTADA</t>
  </si>
  <si>
    <t>Tope de Artículos x Factura/Remito = 999</t>
  </si>
  <si>
    <t>Observación</t>
  </si>
  <si>
    <t>VALOR CERO</t>
  </si>
  <si>
    <t>COSTO TOTAL DE LA RECEPCIÓN/DEVOLUCION</t>
  </si>
  <si>
    <t>Cuando se ingresa la Devolución se valoriza el mismo con el Costo del mismo que está en el Maestro de Artículos</t>
  </si>
  <si>
    <t>Cuando se ingresa la Recepción se valoriza el mismo con el Costo del mismo que está en el Maestro de Artículos</t>
  </si>
  <si>
    <t>7 = Pendiente de Imputación / 4 = Cerrado. 
Cuando la Devolución queda pendiente de imputación se manda con estado 7 (hasta que se impute con el documento y se mande en 4).
Cuando la devolución tiene documento asociado se manda con estado 4.</t>
  </si>
  <si>
    <t>7 = Pendiente de Imputación / 4 = Cerrado. 
Cuando la Recepción queda pendiente de imputación se manda con estado 7 (hasta que se impute con el documento y se mande en 4).
Cuando la Recepción tiene documento asociado se manda con estado 4.</t>
  </si>
  <si>
    <t>Stock luego de la Recepción o Devolución</t>
  </si>
  <si>
    <t>Previo al Conteo Manual</t>
  </si>
  <si>
    <t>VALIDAR CON EMMA SI ESTE CAMPO SE USA PARA ESTE DOCUMENTO.</t>
  </si>
  <si>
    <t>Location ID</t>
  </si>
  <si>
    <t>Crear con Logica, No es secuencial General sino un por Tipo de Documento que se puede repetira en Diferente Locacion</t>
  </si>
  <si>
    <t xml:space="preserve">Vacio </t>
  </si>
  <si>
    <t>(Fecha de Export)</t>
  </si>
  <si>
    <t>Numero de Inventario</t>
  </si>
  <si>
    <t>Tipo de Inventario (Spot y End of Day)</t>
  </si>
  <si>
    <t>Status Bookeados</t>
  </si>
  <si>
    <t>Inventory Adjustment</t>
  </si>
  <si>
    <t>Fecha mas Tiempo</t>
  </si>
  <si>
    <t>Mismo que Location ID</t>
  </si>
  <si>
    <t>Total Ajustment</t>
  </si>
  <si>
    <t xml:space="preserve">Null </t>
  </si>
  <si>
    <t>User Generacion de Inv</t>
  </si>
  <si>
    <t>Fecha</t>
  </si>
  <si>
    <t>Numero Lineas secuencial dependiendo la Cantidad</t>
  </si>
  <si>
    <t>Numero de Item</t>
  </si>
  <si>
    <t>Codigo de La unidad de Medida</t>
  </si>
  <si>
    <t>No manejamos Marca</t>
  </si>
  <si>
    <t>Nombre del Articulo</t>
  </si>
  <si>
    <t>Precio Unitario del Articulo</t>
  </si>
  <si>
    <t>Diferencia de Inventario(Cantidad Ajustada) (Variance)</t>
  </si>
  <si>
    <t>Total Variance Amount</t>
  </si>
  <si>
    <t>Sales Price en el Articulo</t>
  </si>
  <si>
    <t xml:space="preserve">Stock EOD </t>
  </si>
  <si>
    <t>Bookeado</t>
  </si>
  <si>
    <t>Id Empleado Finaliza</t>
  </si>
  <si>
    <t>Fecha de Carga del Inventario</t>
  </si>
  <si>
    <t>Location Reference</t>
  </si>
  <si>
    <t xml:space="preserve">Cantidad del Variance por el Sales Price. </t>
  </si>
  <si>
    <t>X</t>
  </si>
  <si>
    <t>Valor</t>
  </si>
  <si>
    <t>Campo</t>
  </si>
  <si>
    <t>Tabla</t>
  </si>
  <si>
    <t>0000084</t>
  </si>
  <si>
    <t>kst_code</t>
  </si>
  <si>
    <t>kostst</t>
  </si>
  <si>
    <t>fijo</t>
  </si>
  <si>
    <t>Construir</t>
  </si>
  <si>
    <t>2026-04-17</t>
  </si>
  <si>
    <t>current day-1</t>
  </si>
  <si>
    <t>vacio</t>
  </si>
  <si>
    <t xml:space="preserve">2026-04-17 hh:mm:ss </t>
  </si>
  <si>
    <t xml:space="preserve"> (valor inicio de día)</t>
  </si>
  <si>
    <t xml:space="preserve">2026-04-17 hh:mm:ss  </t>
  </si>
  <si>
    <t>(valor cierre de día)</t>
  </si>
  <si>
    <t>Inicia 22:00:01</t>
  </si>
  <si>
    <t>Termina 22:00:00</t>
  </si>
  <si>
    <t>admin</t>
  </si>
  <si>
    <t>Sequence number</t>
  </si>
  <si>
    <t>INVENTORYRECEPTION</t>
  </si>
  <si>
    <t>FIJO</t>
  </si>
  <si>
    <t>lieferschein</t>
  </si>
  <si>
    <t>LFS_status</t>
  </si>
  <si>
    <t>LFS_BRUTTO</t>
  </si>
  <si>
    <t>30-0000000000-5</t>
  </si>
  <si>
    <t>LF_Vert</t>
  </si>
  <si>
    <t>LIEFER</t>
  </si>
  <si>
    <t>RMT-00000-00000001</t>
  </si>
  <si>
    <t>lfs_name</t>
  </si>
  <si>
    <t>lieferchein</t>
  </si>
  <si>
    <t>null</t>
  </si>
  <si>
    <t>lfs_datum</t>
  </si>
  <si>
    <t>construir</t>
  </si>
  <si>
    <t>art_nr</t>
  </si>
  <si>
    <t>lieferpos</t>
  </si>
  <si>
    <t>Relaciona con Artikel en art_id=art_nr de lieferpos</t>
  </si>
  <si>
    <t xml:space="preserve">Mapea con KST_ID de dailytotals </t>
  </si>
  <si>
    <t>Relaciones con vpk_id con vpckinh</t>
  </si>
  <si>
    <t>vpk_id1</t>
  </si>
  <si>
    <t>Nombre Articulo</t>
  </si>
  <si>
    <t>art_name</t>
  </si>
  <si>
    <t>artikel</t>
  </si>
  <si>
    <t>relaciona art_id de artikel con art_nr de Lieferpos</t>
  </si>
  <si>
    <t>dividir neto /cantidad recibida para sacar costo unitario</t>
  </si>
  <si>
    <t>LFP_Menge</t>
  </si>
  <si>
    <t>LFP_EKP/LFP_Menge</t>
  </si>
  <si>
    <t>KST_ID</t>
  </si>
  <si>
    <t>LIEFERPOS</t>
  </si>
  <si>
    <t>LFP_BRUTTO</t>
  </si>
  <si>
    <t>O</t>
  </si>
  <si>
    <t>REPLICADO</t>
  </si>
  <si>
    <t>INVENTORYFISCALDOC</t>
  </si>
  <si>
    <t>=B14</t>
  </si>
  <si>
    <t>FCX-00000-00000001</t>
  </si>
  <si>
    <t>LFS_INFO</t>
  </si>
  <si>
    <t>8193823204938|vencimiento CAI</t>
  </si>
  <si>
    <t>LFS_Netto</t>
  </si>
  <si>
    <t>LFS_MWST</t>
  </si>
  <si>
    <t>LFS_</t>
  </si>
  <si>
    <t>LFS_STATUS =42</t>
  </si>
  <si>
    <t>CUANDO EL ESTADO SEA  37 -convertir a 4</t>
  </si>
  <si>
    <t>LFP_Brutto</t>
  </si>
  <si>
    <t xml:space="preserve">Valor bruto del art_nr identificado como </t>
  </si>
  <si>
    <t>INVENTORYRETURN</t>
  </si>
  <si>
    <t>LFS_RTS=1</t>
  </si>
  <si>
    <t>Lieferschein</t>
  </si>
  <si>
    <t>LFS_status in (37,42)</t>
  </si>
  <si>
    <t>Depósito OPESSA ( Si se requiere nombre entonces hay que hacer JOIN con KOSTST _ por kst_id y traer el campo kst_name</t>
  </si>
  <si>
    <t>INVENTORYADJUSTMENT</t>
  </si>
  <si>
    <t>Inventur</t>
  </si>
  <si>
    <t>Inv_status=8 and inv_typ =4</t>
  </si>
  <si>
    <t>INV20006-0001</t>
  </si>
  <si>
    <t>inv_name</t>
  </si>
  <si>
    <t>inventur</t>
  </si>
  <si>
    <t>chg_zeit</t>
  </si>
  <si>
    <t>Dato</t>
  </si>
  <si>
    <t>vbr_status =2</t>
  </si>
  <si>
    <t>HisVerbrauch</t>
  </si>
  <si>
    <t>vbr_status =3</t>
  </si>
  <si>
    <t>WST2005-00005</t>
  </si>
  <si>
    <t>vbr_name</t>
  </si>
  <si>
    <t>valor</t>
  </si>
  <si>
    <t>hisVerbrauchpos</t>
  </si>
  <si>
    <t xml:space="preserve">Join con verbrauch  con VBR_ID  -  </t>
  </si>
  <si>
    <t>vbt_menge*vbt_wes  (suma de toda las linas del VBR_ID)</t>
  </si>
  <si>
    <t>fijo (cuando tabla driver =HisVerbrauch)</t>
  </si>
  <si>
    <t>vrt_id</t>
  </si>
  <si>
    <t>vbt_POS</t>
  </si>
  <si>
    <t>His_Verbrauchpos</t>
  </si>
  <si>
    <t>join con Artikel  art_id=art_nr</t>
  </si>
  <si>
    <t xml:space="preserve">join con VPCKEINH - vpk_id=vpk_id  </t>
  </si>
  <si>
    <t>VPK_name</t>
  </si>
  <si>
    <t>art_code</t>
  </si>
  <si>
    <t>art_nr(join)</t>
  </si>
  <si>
    <t>vbt_wes</t>
  </si>
  <si>
    <t>kst_name</t>
  </si>
  <si>
    <t>kst_id</t>
  </si>
  <si>
    <t>his_verbrauch</t>
  </si>
  <si>
    <t>His_Verbrauch</t>
  </si>
  <si>
    <t>S1</t>
  </si>
  <si>
    <t>art_id</t>
  </si>
  <si>
    <t>invpostar</t>
  </si>
  <si>
    <t>vpk_id</t>
  </si>
  <si>
    <t>invposart</t>
  </si>
  <si>
    <t>join inventur on inv_id=inv_id</t>
  </si>
  <si>
    <t>join invposart con artikel on  art_id=art_id</t>
  </si>
  <si>
    <t>inp_esp</t>
  </si>
  <si>
    <t>inp_soll  - inp_ist</t>
  </si>
  <si>
    <t>esperado - contado = diferencia</t>
  </si>
  <si>
    <t>(inp_soll  - inp_ist) *inp_esp</t>
  </si>
  <si>
    <t>diferncia *precio=valor diferencia</t>
  </si>
  <si>
    <t>inp_ist</t>
  </si>
  <si>
    <t>fjo</t>
  </si>
  <si>
    <t>sum ((inp_soll  - inp_ist) *inp_esp)</t>
  </si>
  <si>
    <t>invposart - la suma de todas las diferncias valorizadas de todos los articulos)</t>
  </si>
  <si>
    <t>VTB_MENGE</t>
  </si>
  <si>
    <t>vtb_menge</t>
  </si>
  <si>
    <t>inventoryTransfer</t>
  </si>
  <si>
    <t>his_lagerbew</t>
  </si>
  <si>
    <t>where lbw_status=51</t>
  </si>
  <si>
    <t xml:space="preserve">kst_id1 (join kst) donde (KST_ID es origen del envio y kst_id1 es destino). </t>
  </si>
  <si>
    <t>sum(lbp_mengege *lbp_esp)</t>
  </si>
  <si>
    <t>his_lagbewpos</t>
  </si>
  <si>
    <t xml:space="preserve">join lagerbew on lbw_id= lbw_id (suma de todas la lineas lbp_mengege *lbp_esp correspondiente a ese LBW_id </t>
  </si>
  <si>
    <t>kst_code (del KST_ID1)</t>
  </si>
  <si>
    <t>kst_code (del KST_ID)</t>
  </si>
  <si>
    <t>el usuario definido</t>
  </si>
  <si>
    <t>ART_NR</t>
  </si>
  <si>
    <t>HIS_LAGBEWPOS</t>
  </si>
  <si>
    <t>VPK_ID</t>
  </si>
  <si>
    <t>ART_NAME</t>
  </si>
  <si>
    <t>JOIN ARTIKEL ON ART_NR = ART_ID</t>
  </si>
  <si>
    <t>LBP_ESP</t>
  </si>
  <si>
    <t>LBP_MENGEGE</t>
  </si>
  <si>
    <t>KST_ID1</t>
  </si>
  <si>
    <t>lbp_mengege *lbp_esp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</si>
</sst>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0" fontId="0" fillId="6" borderId="0" xfId="0" applyFill="1"/>
    <xf numFmtId="0" fontId="0" fillId="5" borderId="0" xfId="0" applyFill="1"/>
    <xf numFmtId="0" fontId="0" fillId="0" borderId="0" xfId="0" quotePrefix="1"/>
    <xf numFmtId="0" fontId="6" fillId="0" borderId="0" xfId="0" applyFont="1"/>
    <xf numFmtId="0" fontId="7" fillId="0" borderId="0" xfId="0" applyFont="1"/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7" fillId="0" borderId="7" xfId="0" applyFont="1" applyBorder="1"/>
    <xf numFmtId="0" fontId="7" fillId="0" borderId="6" xfId="0" applyFont="1" applyBorder="1"/>
    <xf numFmtId="0" fontId="7" fillId="0" borderId="1" xfId="0" applyFont="1" applyBorder="1"/>
    <xf numFmtId="1" fontId="7" fillId="0" borderId="8" xfId="1" applyNumberFormat="1" applyFont="1" applyBorder="1"/>
    <xf numFmtId="0" fontId="0" fillId="4" borderId="0" xfId="0" applyFill="1"/>
    <xf numFmtId="0" fontId="1" fillId="6" borderId="0" xfId="0" applyFont="1" applyFill="1"/>
    <xf numFmtId="0" fontId="0" fillId="5" borderId="0" xfId="0" applyFill="1" applyAlignment="1">
      <alignment wrapText="1"/>
    </xf>
    <xf numFmtId="0" fontId="1" fillId="0" borderId="9" xfId="0" applyFont="1" applyBorder="1"/>
    <xf numFmtId="0" fontId="0" fillId="0" borderId="10" xfId="0" applyBorder="1"/>
    <xf numFmtId="0" fontId="7" fillId="0" borderId="11" xfId="0" applyFont="1" applyBorder="1"/>
    <xf numFmtId="0" fontId="2" fillId="5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559736</xdr:colOff>
      <xdr:row>52</xdr:row>
      <xdr:rowOff>387349</xdr:rowOff>
    </xdr:from>
    <xdr:to>
      <xdr:col>6</xdr:col>
      <xdr:colOff>1848830</xdr:colOff>
      <xdr:row>58</xdr:row>
      <xdr:rowOff>159276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9C5F851-9042-4A0F-B30B-548DC4093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9576" y="100674169"/>
          <a:ext cx="1848830" cy="1090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A2C4-1E37-422B-8E1D-805F03CEC31D}">
  <dimension ref="A1:F7"/>
  <sheetViews>
    <sheetView workbookViewId="0">
      <selection activeCell="C4" sqref="C4"/>
    </sheetView>
  </sheetViews>
  <sheetFormatPr defaultColWidth="10.88671875" defaultRowHeight="14.4" x14ac:dyDescent="0.3"/>
  <cols>
    <col min="1" max="1" width="8" bestFit="1" customWidth="1"/>
    <col min="2" max="2" width="11" customWidth="1"/>
    <col min="3" max="3" width="14.21875" customWidth="1"/>
    <col min="4" max="4" width="13.21875" customWidth="1"/>
    <col min="5" max="5" width="12" customWidth="1"/>
    <col min="6" max="6" width="37.44140625" bestFit="1" customWidth="1"/>
  </cols>
  <sheetData>
    <row r="1" spans="1:6" x14ac:dyDescent="0.3">
      <c r="A1" s="12" t="s">
        <v>189</v>
      </c>
      <c r="B1" s="13"/>
      <c r="C1" s="13"/>
      <c r="D1" s="13"/>
      <c r="E1" s="13"/>
    </row>
    <row r="2" spans="1:6" x14ac:dyDescent="0.3">
      <c r="A2" s="19"/>
      <c r="B2" s="36" t="s">
        <v>5</v>
      </c>
      <c r="C2" s="37"/>
      <c r="D2" s="38" t="s">
        <v>68</v>
      </c>
      <c r="E2" s="39"/>
      <c r="F2" s="24" t="s">
        <v>205</v>
      </c>
    </row>
    <row r="3" spans="1:6" x14ac:dyDescent="0.3">
      <c r="A3" s="14" t="s">
        <v>182</v>
      </c>
      <c r="B3" s="14" t="s">
        <v>183</v>
      </c>
      <c r="C3" s="16">
        <v>12345678901</v>
      </c>
      <c r="D3" s="14" t="s">
        <v>184</v>
      </c>
      <c r="E3" s="15">
        <v>1234</v>
      </c>
      <c r="F3" s="25"/>
    </row>
    <row r="4" spans="1:6" x14ac:dyDescent="0.3">
      <c r="A4" s="18" t="s">
        <v>185</v>
      </c>
      <c r="B4" s="18" t="s">
        <v>186</v>
      </c>
      <c r="C4" s="20">
        <v>900000000000</v>
      </c>
      <c r="D4" s="18" t="s">
        <v>187</v>
      </c>
      <c r="E4" s="17">
        <v>123</v>
      </c>
      <c r="F4" s="26" t="s">
        <v>204</v>
      </c>
    </row>
    <row r="5" spans="1:6" x14ac:dyDescent="0.3">
      <c r="A5" s="13"/>
      <c r="B5" s="13"/>
      <c r="C5" s="13"/>
      <c r="D5" s="13"/>
      <c r="E5" s="13"/>
    </row>
    <row r="7" spans="1:6" x14ac:dyDescent="0.3">
      <c r="A7" s="8" t="s">
        <v>190</v>
      </c>
      <c r="B7" t="s">
        <v>188</v>
      </c>
    </row>
  </sheetData>
  <mergeCells count="2">
    <mergeCell ref="B2:C2"/>
    <mergeCell ref="D2:E2"/>
  </mergeCells>
  <pageMargins left="0.7" right="0.7" top="0.75" bottom="0.75" header="0.3" footer="0.3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E1D1-74F4-48E4-B78E-01415E800AE9}">
  <dimension ref="A1:H76"/>
  <sheetViews>
    <sheetView topLeftCell="A11" workbookViewId="0">
      <selection activeCell="B11" sqref="B11"/>
    </sheetView>
  </sheetViews>
  <sheetFormatPr defaultColWidth="10.88671875" defaultRowHeight="14.4" x14ac:dyDescent="0.3"/>
  <cols>
    <col min="1" max="1" width="56.5546875" customWidth="1"/>
    <col min="2" max="2" width="31.44140625" customWidth="1"/>
    <col min="3" max="3" width="35.109375" customWidth="1"/>
    <col min="4" max="4" width="29.88671875" customWidth="1"/>
    <col min="5" max="5" width="41" bestFit="1" customWidth="1"/>
    <col min="6" max="6" width="52.44140625" customWidth="1"/>
    <col min="7" max="7" width="64" customWidth="1"/>
    <col min="8" max="8" width="147.21875" bestFit="1" customWidth="1"/>
  </cols>
  <sheetData>
    <row r="1" spans="1:8" x14ac:dyDescent="0.3">
      <c r="A1" s="6" t="s">
        <v>114</v>
      </c>
      <c r="B1" s="6" t="s">
        <v>245</v>
      </c>
      <c r="C1" s="6" t="s">
        <v>246</v>
      </c>
      <c r="D1" s="6" t="s">
        <v>247</v>
      </c>
      <c r="E1" s="6"/>
      <c r="F1" s="21"/>
      <c r="G1" s="21"/>
    </row>
    <row r="4" spans="1:8" x14ac:dyDescent="0.3">
      <c r="A4" s="5" t="s">
        <v>0</v>
      </c>
      <c r="B4" s="5"/>
      <c r="C4" s="5"/>
      <c r="D4" s="5"/>
      <c r="E4" s="5"/>
    </row>
    <row r="6" spans="1:8" x14ac:dyDescent="0.3">
      <c r="A6" t="s">
        <v>1</v>
      </c>
      <c r="B6" s="31" t="s">
        <v>248</v>
      </c>
      <c r="C6" t="s">
        <v>249</v>
      </c>
      <c r="D6" t="s">
        <v>250</v>
      </c>
      <c r="E6" t="s">
        <v>281</v>
      </c>
      <c r="F6" t="s">
        <v>2</v>
      </c>
    </row>
    <row r="7" spans="1:8" x14ac:dyDescent="0.3">
      <c r="A7" t="s">
        <v>3</v>
      </c>
      <c r="B7">
        <v>0</v>
      </c>
      <c r="C7" t="s">
        <v>251</v>
      </c>
      <c r="D7" t="s">
        <v>251</v>
      </c>
      <c r="F7" t="s">
        <v>4</v>
      </c>
    </row>
    <row r="8" spans="1:8" ht="33" customHeight="1" x14ac:dyDescent="0.3">
      <c r="A8" t="s">
        <v>5</v>
      </c>
      <c r="B8">
        <v>9000000001</v>
      </c>
      <c r="D8" t="s">
        <v>252</v>
      </c>
      <c r="F8" t="s">
        <v>6</v>
      </c>
      <c r="H8" s="23" t="s">
        <v>199</v>
      </c>
    </row>
    <row r="9" spans="1:8" x14ac:dyDescent="0.3">
      <c r="A9" t="s">
        <v>7</v>
      </c>
      <c r="B9" s="31" t="s">
        <v>253</v>
      </c>
      <c r="C9" t="s">
        <v>254</v>
      </c>
      <c r="D9" t="s">
        <v>252</v>
      </c>
      <c r="F9" t="s">
        <v>8</v>
      </c>
      <c r="H9" t="s">
        <v>9</v>
      </c>
    </row>
    <row r="10" spans="1:8" x14ac:dyDescent="0.3">
      <c r="A10" t="s">
        <v>10</v>
      </c>
      <c r="B10" s="31" t="s">
        <v>172</v>
      </c>
      <c r="C10" t="s">
        <v>251</v>
      </c>
      <c r="D10" t="s">
        <v>252</v>
      </c>
      <c r="F10" s="11" t="s">
        <v>172</v>
      </c>
      <c r="G10" s="11"/>
      <c r="H10" s="10" t="s">
        <v>12</v>
      </c>
    </row>
    <row r="11" spans="1:8" x14ac:dyDescent="0.3">
      <c r="A11" t="s">
        <v>13</v>
      </c>
      <c r="B11">
        <v>0</v>
      </c>
      <c r="C11" t="s">
        <v>251</v>
      </c>
      <c r="F11" s="11" t="s">
        <v>172</v>
      </c>
      <c r="G11" s="11"/>
      <c r="H11" s="10" t="s">
        <v>12</v>
      </c>
    </row>
    <row r="12" spans="1:8" x14ac:dyDescent="0.3">
      <c r="A12" t="s">
        <v>14</v>
      </c>
      <c r="C12" t="s">
        <v>255</v>
      </c>
      <c r="F12" t="s">
        <v>15</v>
      </c>
      <c r="H12" t="s">
        <v>9</v>
      </c>
    </row>
    <row r="13" spans="1:8" x14ac:dyDescent="0.3">
      <c r="A13" t="s">
        <v>16</v>
      </c>
      <c r="C13" t="s">
        <v>255</v>
      </c>
      <c r="F13" t="s">
        <v>17</v>
      </c>
      <c r="H13" t="s">
        <v>9</v>
      </c>
    </row>
    <row r="14" spans="1:8" x14ac:dyDescent="0.3">
      <c r="A14" t="s">
        <v>18</v>
      </c>
      <c r="B14" s="31" t="s">
        <v>256</v>
      </c>
      <c r="C14" t="s">
        <v>257</v>
      </c>
      <c r="D14" t="s">
        <v>260</v>
      </c>
      <c r="F14" t="s">
        <v>19</v>
      </c>
    </row>
    <row r="15" spans="1:8" x14ac:dyDescent="0.3">
      <c r="A15" t="s">
        <v>20</v>
      </c>
      <c r="B15" s="31" t="s">
        <v>258</v>
      </c>
      <c r="C15" t="s">
        <v>259</v>
      </c>
      <c r="D15" t="s">
        <v>261</v>
      </c>
      <c r="F15" t="s">
        <v>21</v>
      </c>
    </row>
    <row r="16" spans="1:8" x14ac:dyDescent="0.3">
      <c r="A16" t="s">
        <v>22</v>
      </c>
      <c r="B16" s="31" t="s">
        <v>262</v>
      </c>
      <c r="C16" t="s">
        <v>251</v>
      </c>
      <c r="D16" t="s">
        <v>251</v>
      </c>
      <c r="F16" t="s">
        <v>23</v>
      </c>
    </row>
    <row r="17" spans="1:8" x14ac:dyDescent="0.3">
      <c r="A17" t="s">
        <v>24</v>
      </c>
      <c r="B17" s="31" t="s">
        <v>263</v>
      </c>
      <c r="F17" t="s">
        <v>6</v>
      </c>
      <c r="H17" s="10" t="s">
        <v>173</v>
      </c>
    </row>
    <row r="18" spans="1:8" x14ac:dyDescent="0.3">
      <c r="A18" t="s">
        <v>25</v>
      </c>
      <c r="B18" t="s">
        <v>264</v>
      </c>
      <c r="F18" t="s">
        <v>26</v>
      </c>
    </row>
    <row r="19" spans="1:8" x14ac:dyDescent="0.3">
      <c r="A19" t="s">
        <v>27</v>
      </c>
      <c r="B19">
        <v>4</v>
      </c>
      <c r="C19" t="s">
        <v>267</v>
      </c>
      <c r="D19" t="s">
        <v>266</v>
      </c>
      <c r="E19" t="s">
        <v>305</v>
      </c>
      <c r="F19" t="s">
        <v>174</v>
      </c>
      <c r="H19" s="10" t="s">
        <v>175</v>
      </c>
    </row>
    <row r="20" spans="1:8" hidden="1" x14ac:dyDescent="0.3">
      <c r="A20" t="s">
        <v>30</v>
      </c>
      <c r="F20" s="2" t="s">
        <v>34</v>
      </c>
      <c r="G20" s="2"/>
    </row>
    <row r="21" spans="1:8" x14ac:dyDescent="0.3">
      <c r="A21" t="s">
        <v>31</v>
      </c>
      <c r="B21" s="31" t="s">
        <v>297</v>
      </c>
      <c r="C21" s="31" t="str">
        <f>C14</f>
        <v xml:space="preserve"> (valor inicio de día)</v>
      </c>
      <c r="D21" s="31" t="str">
        <f>D14</f>
        <v>Inicia 22:00:01</v>
      </c>
      <c r="F21" t="s">
        <v>32</v>
      </c>
      <c r="H21" s="10" t="s">
        <v>176</v>
      </c>
    </row>
    <row r="22" spans="1:8" hidden="1" x14ac:dyDescent="0.3">
      <c r="A22" t="s">
        <v>33</v>
      </c>
      <c r="F22" s="3" t="s">
        <v>35</v>
      </c>
      <c r="G22" s="3"/>
    </row>
    <row r="23" spans="1:8" x14ac:dyDescent="0.3">
      <c r="A23" t="s">
        <v>36</v>
      </c>
      <c r="B23" s="31" t="str">
        <f>B14</f>
        <v xml:space="preserve">2026-04-17 hh:mm:ss </v>
      </c>
      <c r="C23" s="31" t="str">
        <f t="shared" ref="C23:D23" si="0">C14</f>
        <v xml:space="preserve"> (valor inicio de día)</v>
      </c>
      <c r="D23" s="31" t="str">
        <f t="shared" si="0"/>
        <v>Inicia 22:00:01</v>
      </c>
      <c r="F23" t="s">
        <v>32</v>
      </c>
      <c r="H23" s="10" t="s">
        <v>176</v>
      </c>
    </row>
    <row r="24" spans="1:8" x14ac:dyDescent="0.3">
      <c r="A24" t="s">
        <v>37</v>
      </c>
      <c r="B24">
        <v>90000</v>
      </c>
      <c r="C24" t="s">
        <v>268</v>
      </c>
      <c r="D24" t="s">
        <v>266</v>
      </c>
      <c r="F24" t="s">
        <v>38</v>
      </c>
      <c r="H24" s="27" t="s">
        <v>209</v>
      </c>
    </row>
    <row r="25" spans="1:8" x14ac:dyDescent="0.3">
      <c r="A25" t="s">
        <v>39</v>
      </c>
      <c r="B25" s="31" t="str">
        <f>B14</f>
        <v xml:space="preserve">2026-04-17 hh:mm:ss </v>
      </c>
      <c r="C25" s="31" t="str">
        <f t="shared" ref="C25:D25" si="1">C14</f>
        <v xml:space="preserve"> (valor inicio de día)</v>
      </c>
      <c r="D25" s="31" t="str">
        <f t="shared" si="1"/>
        <v>Inicia 22:00:01</v>
      </c>
      <c r="F25" t="s">
        <v>32</v>
      </c>
      <c r="H25" s="10" t="s">
        <v>176</v>
      </c>
    </row>
    <row r="26" spans="1:8" x14ac:dyDescent="0.3">
      <c r="A26" t="s">
        <v>40</v>
      </c>
      <c r="B26" s="31" t="str">
        <f>B6</f>
        <v>0000084</v>
      </c>
      <c r="C26" s="31" t="str">
        <f t="shared" ref="C26:D26" si="2">C6</f>
        <v>kst_code</v>
      </c>
      <c r="D26" s="31" t="str">
        <f t="shared" si="2"/>
        <v>kostst</v>
      </c>
      <c r="F26" t="s">
        <v>2</v>
      </c>
    </row>
    <row r="27" spans="1:8" x14ac:dyDescent="0.3">
      <c r="A27" t="s">
        <v>41</v>
      </c>
      <c r="B27" t="s">
        <v>269</v>
      </c>
      <c r="C27" t="s">
        <v>270</v>
      </c>
      <c r="D27" t="s">
        <v>271</v>
      </c>
      <c r="F27" t="s">
        <v>42</v>
      </c>
    </row>
    <row r="28" spans="1:8" hidden="1" x14ac:dyDescent="0.3">
      <c r="A28" t="s">
        <v>43</v>
      </c>
      <c r="F28" s="3" t="s">
        <v>35</v>
      </c>
      <c r="G28" s="3"/>
    </row>
    <row r="29" spans="1:8" x14ac:dyDescent="0.3">
      <c r="A29" t="s">
        <v>44</v>
      </c>
      <c r="B29" t="s">
        <v>262</v>
      </c>
      <c r="C29" t="str">
        <f>C16</f>
        <v>fijo</v>
      </c>
      <c r="D29" t="str">
        <f>D16</f>
        <v>fijo</v>
      </c>
      <c r="F29" t="s">
        <v>23</v>
      </c>
    </row>
    <row r="30" spans="1:8" hidden="1" x14ac:dyDescent="0.3">
      <c r="A30" t="s">
        <v>45</v>
      </c>
      <c r="F30" s="3" t="s">
        <v>35</v>
      </c>
      <c r="G30" s="3"/>
    </row>
    <row r="31" spans="1:8" hidden="1" x14ac:dyDescent="0.3">
      <c r="A31" t="s">
        <v>46</v>
      </c>
      <c r="F31" s="3" t="s">
        <v>35</v>
      </c>
      <c r="G31" s="3"/>
    </row>
    <row r="32" spans="1:8" hidden="1" x14ac:dyDescent="0.3">
      <c r="A32" t="s">
        <v>47</v>
      </c>
      <c r="F32" s="3" t="s">
        <v>35</v>
      </c>
      <c r="G32" s="3"/>
    </row>
    <row r="33" spans="1:8" hidden="1" x14ac:dyDescent="0.3">
      <c r="A33" t="s">
        <v>48</v>
      </c>
      <c r="F33" s="3" t="s">
        <v>35</v>
      </c>
      <c r="G33" s="3"/>
    </row>
    <row r="34" spans="1:8" x14ac:dyDescent="0.3">
      <c r="A34" t="s">
        <v>49</v>
      </c>
      <c r="B34" t="s">
        <v>272</v>
      </c>
      <c r="C34" t="s">
        <v>273</v>
      </c>
      <c r="D34" t="s">
        <v>274</v>
      </c>
      <c r="F34" s="4" t="s">
        <v>201</v>
      </c>
      <c r="G34" s="4"/>
      <c r="H34" s="10" t="s">
        <v>200</v>
      </c>
    </row>
    <row r="35" spans="1:8" x14ac:dyDescent="0.3">
      <c r="A35" t="s">
        <v>50</v>
      </c>
      <c r="B35" t="b">
        <v>1</v>
      </c>
      <c r="C35" t="s">
        <v>251</v>
      </c>
      <c r="D35" t="s">
        <v>251</v>
      </c>
      <c r="F35" s="4" t="s">
        <v>51</v>
      </c>
      <c r="G35" s="4"/>
    </row>
    <row r="36" spans="1:8" x14ac:dyDescent="0.3">
      <c r="A36" t="s">
        <v>52</v>
      </c>
      <c r="B36" t="s">
        <v>275</v>
      </c>
      <c r="C36" t="s">
        <v>251</v>
      </c>
      <c r="D36" t="s">
        <v>251</v>
      </c>
      <c r="F36" s="4" t="s">
        <v>177</v>
      </c>
      <c r="G36" s="4"/>
      <c r="H36" s="10" t="s">
        <v>176</v>
      </c>
    </row>
    <row r="37" spans="1:8" x14ac:dyDescent="0.3">
      <c r="A37" t="s">
        <v>53</v>
      </c>
      <c r="B37" s="31" t="s">
        <v>253</v>
      </c>
      <c r="C37" t="s">
        <v>276</v>
      </c>
      <c r="D37" t="s">
        <v>266</v>
      </c>
      <c r="F37" s="4" t="s">
        <v>54</v>
      </c>
      <c r="G37" s="4"/>
    </row>
    <row r="38" spans="1:8" hidden="1" x14ac:dyDescent="0.3">
      <c r="A38" t="s">
        <v>55</v>
      </c>
      <c r="F38" s="3" t="s">
        <v>35</v>
      </c>
      <c r="G38" s="3"/>
    </row>
    <row r="39" spans="1:8" hidden="1" x14ac:dyDescent="0.3">
      <c r="A39" t="s">
        <v>56</v>
      </c>
      <c r="F39" s="3" t="s">
        <v>35</v>
      </c>
      <c r="G39" s="3"/>
    </row>
    <row r="40" spans="1:8" hidden="1" x14ac:dyDescent="0.3">
      <c r="A40" t="s">
        <v>57</v>
      </c>
      <c r="F40" s="3" t="s">
        <v>35</v>
      </c>
      <c r="G40" s="3"/>
    </row>
    <row r="41" spans="1:8" hidden="1" x14ac:dyDescent="0.3">
      <c r="A41" t="s">
        <v>58</v>
      </c>
      <c r="F41" s="3" t="s">
        <v>35</v>
      </c>
      <c r="G41" s="3"/>
    </row>
    <row r="42" spans="1:8" hidden="1" x14ac:dyDescent="0.3">
      <c r="A42" t="s">
        <v>59</v>
      </c>
      <c r="F42" s="3" t="s">
        <v>35</v>
      </c>
      <c r="G42" s="3"/>
    </row>
    <row r="43" spans="1:8" hidden="1" x14ac:dyDescent="0.3">
      <c r="A43" t="s">
        <v>60</v>
      </c>
      <c r="F43" s="3" t="s">
        <v>35</v>
      </c>
      <c r="G43" s="3"/>
    </row>
    <row r="44" spans="1:8" hidden="1" x14ac:dyDescent="0.3">
      <c r="A44" t="s">
        <v>61</v>
      </c>
      <c r="F44" s="3" t="s">
        <v>35</v>
      </c>
      <c r="G44" s="3"/>
    </row>
    <row r="45" spans="1:8" hidden="1" x14ac:dyDescent="0.3">
      <c r="A45" t="s">
        <v>62</v>
      </c>
      <c r="F45" s="3" t="s">
        <v>35</v>
      </c>
      <c r="G45" s="3"/>
    </row>
    <row r="46" spans="1:8" hidden="1" x14ac:dyDescent="0.3">
      <c r="A46" t="s">
        <v>63</v>
      </c>
      <c r="F46" s="3" t="s">
        <v>35</v>
      </c>
      <c r="G46" s="3"/>
    </row>
    <row r="47" spans="1:8" hidden="1" x14ac:dyDescent="0.3">
      <c r="A47" t="s">
        <v>64</v>
      </c>
      <c r="F47" s="3" t="s">
        <v>35</v>
      </c>
      <c r="G47" s="3"/>
    </row>
    <row r="48" spans="1:8" hidden="1" x14ac:dyDescent="0.3">
      <c r="A48" t="s">
        <v>65</v>
      </c>
      <c r="F48" s="3" t="s">
        <v>35</v>
      </c>
      <c r="G48" s="3"/>
    </row>
    <row r="49" spans="1:8" hidden="1" x14ac:dyDescent="0.3">
      <c r="A49" t="s">
        <v>66</v>
      </c>
      <c r="F49" s="3" t="s">
        <v>35</v>
      </c>
      <c r="G49" s="3"/>
    </row>
    <row r="50" spans="1:8" x14ac:dyDescent="0.3">
      <c r="A50" t="s">
        <v>179</v>
      </c>
      <c r="B50" t="s">
        <v>295</v>
      </c>
      <c r="C50" t="s">
        <v>251</v>
      </c>
      <c r="D50" t="s">
        <v>251</v>
      </c>
      <c r="F50" s="4" t="s">
        <v>178</v>
      </c>
      <c r="G50" s="4"/>
    </row>
    <row r="51" spans="1:8" x14ac:dyDescent="0.3">
      <c r="F51" s="4"/>
      <c r="G51" s="4"/>
    </row>
    <row r="53" spans="1:8" x14ac:dyDescent="0.3">
      <c r="A53" s="5" t="s">
        <v>67</v>
      </c>
      <c r="B53" s="5"/>
      <c r="C53" s="5"/>
      <c r="D53" s="5"/>
      <c r="E53" s="5"/>
    </row>
    <row r="55" spans="1:8" x14ac:dyDescent="0.3">
      <c r="A55" t="s">
        <v>1</v>
      </c>
      <c r="B55" s="31" t="str">
        <f t="shared" ref="B55:D56" si="3">B6</f>
        <v>0000084</v>
      </c>
      <c r="C55" t="str">
        <f t="shared" si="3"/>
        <v>kst_code</v>
      </c>
      <c r="D55" t="str">
        <f t="shared" si="3"/>
        <v>kostst</v>
      </c>
      <c r="F55" t="s">
        <v>2</v>
      </c>
    </row>
    <row r="56" spans="1:8" x14ac:dyDescent="0.3">
      <c r="A56" t="s">
        <v>3</v>
      </c>
      <c r="B56">
        <f t="shared" si="3"/>
        <v>0</v>
      </c>
      <c r="C56" t="str">
        <f t="shared" si="3"/>
        <v>fijo</v>
      </c>
      <c r="D56" t="str">
        <f t="shared" si="3"/>
        <v>fijo</v>
      </c>
      <c r="F56" t="s">
        <v>4</v>
      </c>
    </row>
    <row r="57" spans="1:8" x14ac:dyDescent="0.3">
      <c r="A57" t="s">
        <v>5</v>
      </c>
      <c r="B57">
        <f>B8</f>
        <v>9000000001</v>
      </c>
      <c r="D57" t="s">
        <v>277</v>
      </c>
      <c r="F57" t="s">
        <v>6</v>
      </c>
      <c r="H57" s="10" t="s">
        <v>180</v>
      </c>
    </row>
    <row r="58" spans="1:8" x14ac:dyDescent="0.3">
      <c r="A58" t="s">
        <v>68</v>
      </c>
      <c r="B58">
        <v>1</v>
      </c>
      <c r="D58" t="s">
        <v>277</v>
      </c>
      <c r="F58" t="s">
        <v>69</v>
      </c>
      <c r="H58" s="10" t="s">
        <v>181</v>
      </c>
    </row>
    <row r="59" spans="1:8" x14ac:dyDescent="0.3">
      <c r="A59" t="s">
        <v>70</v>
      </c>
      <c r="B59">
        <v>679</v>
      </c>
      <c r="C59" t="s">
        <v>278</v>
      </c>
      <c r="D59" t="s">
        <v>279</v>
      </c>
      <c r="E59" t="s">
        <v>280</v>
      </c>
      <c r="F59" t="s">
        <v>71</v>
      </c>
    </row>
    <row r="60" spans="1:8" x14ac:dyDescent="0.3">
      <c r="A60" t="s">
        <v>72</v>
      </c>
      <c r="B60">
        <v>3</v>
      </c>
      <c r="C60" t="s">
        <v>283</v>
      </c>
      <c r="D60" t="s">
        <v>279</v>
      </c>
      <c r="E60" t="s">
        <v>282</v>
      </c>
      <c r="F60" t="s">
        <v>73</v>
      </c>
    </row>
    <row r="61" spans="1:8" x14ac:dyDescent="0.3">
      <c r="A61" t="s">
        <v>74</v>
      </c>
      <c r="B61">
        <v>0</v>
      </c>
      <c r="C61" t="s">
        <v>251</v>
      </c>
      <c r="D61" t="s">
        <v>251</v>
      </c>
      <c r="F61" t="s">
        <v>75</v>
      </c>
    </row>
    <row r="62" spans="1:8" x14ac:dyDescent="0.3">
      <c r="A62" t="s">
        <v>76</v>
      </c>
      <c r="B62" t="s">
        <v>284</v>
      </c>
      <c r="C62" t="s">
        <v>285</v>
      </c>
      <c r="D62" t="s">
        <v>286</v>
      </c>
      <c r="E62" t="s">
        <v>287</v>
      </c>
      <c r="F62" t="s">
        <v>77</v>
      </c>
    </row>
    <row r="63" spans="1:8" x14ac:dyDescent="0.3">
      <c r="A63" t="s">
        <v>78</v>
      </c>
      <c r="B63">
        <v>25</v>
      </c>
      <c r="C63" t="s">
        <v>290</v>
      </c>
      <c r="D63" t="s">
        <v>279</v>
      </c>
      <c r="E63" t="s">
        <v>288</v>
      </c>
      <c r="F63" t="s">
        <v>90</v>
      </c>
      <c r="H63" s="10" t="s">
        <v>202</v>
      </c>
    </row>
    <row r="64" spans="1:8" x14ac:dyDescent="0.3">
      <c r="A64" t="s">
        <v>79</v>
      </c>
      <c r="B64">
        <v>100</v>
      </c>
      <c r="C64" t="s">
        <v>289</v>
      </c>
      <c r="D64" t="s">
        <v>279</v>
      </c>
      <c r="F64" t="s">
        <v>91</v>
      </c>
    </row>
    <row r="65" spans="1:8" x14ac:dyDescent="0.3">
      <c r="A65" t="s">
        <v>80</v>
      </c>
      <c r="B65">
        <v>9</v>
      </c>
      <c r="C65" t="s">
        <v>291</v>
      </c>
      <c r="D65" t="s">
        <v>292</v>
      </c>
      <c r="F65" t="s">
        <v>198</v>
      </c>
      <c r="H65" t="s">
        <v>197</v>
      </c>
    </row>
    <row r="66" spans="1:8" x14ac:dyDescent="0.3">
      <c r="A66" t="s">
        <v>81</v>
      </c>
      <c r="B66">
        <v>9</v>
      </c>
      <c r="C66" t="s">
        <v>291</v>
      </c>
      <c r="D66" t="s">
        <v>292</v>
      </c>
      <c r="F66" t="s">
        <v>198</v>
      </c>
      <c r="H66" t="s">
        <v>197</v>
      </c>
    </row>
    <row r="67" spans="1:8" x14ac:dyDescent="0.3">
      <c r="A67" t="s">
        <v>82</v>
      </c>
      <c r="B67">
        <v>2500</v>
      </c>
      <c r="C67" t="s">
        <v>293</v>
      </c>
      <c r="D67" t="s">
        <v>292</v>
      </c>
      <c r="F67" t="s">
        <v>94</v>
      </c>
    </row>
    <row r="68" spans="1:8" x14ac:dyDescent="0.3">
      <c r="A68" t="s">
        <v>83</v>
      </c>
      <c r="B68">
        <v>0</v>
      </c>
      <c r="C68" t="s">
        <v>265</v>
      </c>
      <c r="D68" t="s">
        <v>265</v>
      </c>
      <c r="F68" t="s">
        <v>92</v>
      </c>
    </row>
    <row r="69" spans="1:8" x14ac:dyDescent="0.3">
      <c r="A69" t="s">
        <v>84</v>
      </c>
      <c r="B69">
        <v>0</v>
      </c>
      <c r="C69" t="s">
        <v>265</v>
      </c>
      <c r="D69" t="s">
        <v>265</v>
      </c>
      <c r="F69" t="s">
        <v>93</v>
      </c>
    </row>
    <row r="70" spans="1:8" x14ac:dyDescent="0.3">
      <c r="A70" t="s">
        <v>85</v>
      </c>
      <c r="B70" t="s">
        <v>294</v>
      </c>
      <c r="C70" t="s">
        <v>265</v>
      </c>
      <c r="D70" t="s">
        <v>265</v>
      </c>
      <c r="F70" s="10" t="s">
        <v>206</v>
      </c>
      <c r="G70" s="10"/>
    </row>
    <row r="71" spans="1:8" x14ac:dyDescent="0.3">
      <c r="A71" t="s">
        <v>86</v>
      </c>
      <c r="B71">
        <v>0</v>
      </c>
      <c r="C71" t="s">
        <v>251</v>
      </c>
      <c r="D71" t="s">
        <v>251</v>
      </c>
      <c r="F71" s="1" t="s">
        <v>11</v>
      </c>
      <c r="G71" s="1"/>
    </row>
    <row r="72" spans="1:8" x14ac:dyDescent="0.3">
      <c r="A72" t="s">
        <v>87</v>
      </c>
      <c r="B72">
        <v>0</v>
      </c>
      <c r="C72" t="s">
        <v>251</v>
      </c>
      <c r="D72" t="s">
        <v>251</v>
      </c>
      <c r="F72" t="s">
        <v>95</v>
      </c>
    </row>
    <row r="73" spans="1:8" hidden="1" x14ac:dyDescent="0.3">
      <c r="A73" t="s">
        <v>88</v>
      </c>
      <c r="F73" s="3" t="s">
        <v>35</v>
      </c>
      <c r="G73" s="3"/>
    </row>
    <row r="74" spans="1:8" hidden="1" x14ac:dyDescent="0.3">
      <c r="A74" t="s">
        <v>39</v>
      </c>
      <c r="F74" s="3" t="s">
        <v>35</v>
      </c>
      <c r="G74" s="3"/>
    </row>
    <row r="75" spans="1:8" hidden="1" x14ac:dyDescent="0.3">
      <c r="A75" t="s">
        <v>89</v>
      </c>
      <c r="F75" s="3" t="s">
        <v>35</v>
      </c>
      <c r="G75" s="3"/>
    </row>
    <row r="76" spans="1:8" ht="43.2" x14ac:dyDescent="0.3">
      <c r="A76" t="s">
        <v>27</v>
      </c>
      <c r="B76">
        <v>1</v>
      </c>
      <c r="C76" t="s">
        <v>265</v>
      </c>
      <c r="D76" t="s">
        <v>265</v>
      </c>
      <c r="F76" s="4" t="s">
        <v>28</v>
      </c>
      <c r="G76" s="4"/>
      <c r="H76" s="23" t="s">
        <v>211</v>
      </c>
    </row>
  </sheetData>
  <pageMargins left="0.7" right="0.7" top="0.75" bottom="0.75" header="0.3" footer="0.3"/>
  <pageSetup orientation="portrait" r:id="rId1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4343-3357-490E-A453-9486DE4699BF}">
  <dimension ref="A1:F64"/>
  <sheetViews>
    <sheetView topLeftCell="C36" workbookViewId="0">
      <selection activeCell="D43" sqref="D43"/>
    </sheetView>
  </sheetViews>
  <sheetFormatPr defaultColWidth="10.88671875" defaultRowHeight="14.4" x14ac:dyDescent="0.3"/>
  <cols>
    <col min="1" max="1" width="52.44140625" customWidth="1"/>
    <col min="2" max="2" width="75" customWidth="1"/>
    <col min="3" max="3" width="28.21875" bestFit="1" customWidth="1"/>
    <col min="4" max="4" width="15.44140625" customWidth="1"/>
    <col min="5" max="5" width="14.44140625" customWidth="1"/>
    <col min="6" max="6" width="132.5546875" bestFit="1" customWidth="1"/>
  </cols>
  <sheetData>
    <row r="1" spans="1:6" x14ac:dyDescent="0.3">
      <c r="A1" s="8" t="s">
        <v>96</v>
      </c>
    </row>
    <row r="4" spans="1:6" x14ac:dyDescent="0.3">
      <c r="A4" s="8" t="s">
        <v>0</v>
      </c>
    </row>
    <row r="7" spans="1:6" x14ac:dyDescent="0.3">
      <c r="A7" t="s">
        <v>1</v>
      </c>
      <c r="B7" t="s">
        <v>2</v>
      </c>
      <c r="C7" s="31" t="s">
        <v>248</v>
      </c>
      <c r="D7" t="s">
        <v>249</v>
      </c>
      <c r="E7" t="s">
        <v>250</v>
      </c>
    </row>
    <row r="8" spans="1:6" x14ac:dyDescent="0.3">
      <c r="A8" t="s">
        <v>3</v>
      </c>
      <c r="B8" t="s">
        <v>4</v>
      </c>
      <c r="C8">
        <v>0</v>
      </c>
      <c r="D8" t="s">
        <v>251</v>
      </c>
      <c r="E8" t="s">
        <v>251</v>
      </c>
    </row>
    <row r="9" spans="1:6" x14ac:dyDescent="0.3">
      <c r="A9" t="s">
        <v>5</v>
      </c>
      <c r="B9" t="s">
        <v>6</v>
      </c>
      <c r="C9">
        <v>9000000001</v>
      </c>
      <c r="E9" t="s">
        <v>252</v>
      </c>
      <c r="F9" s="10" t="s">
        <v>191</v>
      </c>
    </row>
    <row r="10" spans="1:6" x14ac:dyDescent="0.3">
      <c r="A10" t="s">
        <v>7</v>
      </c>
      <c r="B10" t="s">
        <v>8</v>
      </c>
      <c r="C10" s="31" t="s">
        <v>253</v>
      </c>
      <c r="D10" t="s">
        <v>254</v>
      </c>
      <c r="E10" t="s">
        <v>252</v>
      </c>
      <c r="F10" t="s">
        <v>9</v>
      </c>
    </row>
    <row r="11" spans="1:6" x14ac:dyDescent="0.3">
      <c r="A11" t="s">
        <v>10</v>
      </c>
      <c r="B11">
        <v>0</v>
      </c>
      <c r="C11" s="31" t="s">
        <v>172</v>
      </c>
      <c r="D11" t="s">
        <v>251</v>
      </c>
      <c r="E11" t="s">
        <v>252</v>
      </c>
      <c r="F11" s="10" t="s">
        <v>12</v>
      </c>
    </row>
    <row r="12" spans="1:6" x14ac:dyDescent="0.3">
      <c r="A12" t="s">
        <v>13</v>
      </c>
      <c r="B12">
        <v>0</v>
      </c>
      <c r="C12">
        <v>0</v>
      </c>
      <c r="D12" t="s">
        <v>251</v>
      </c>
      <c r="F12" s="10" t="s">
        <v>12</v>
      </c>
    </row>
    <row r="13" spans="1:6" x14ac:dyDescent="0.3">
      <c r="A13" t="s">
        <v>14</v>
      </c>
      <c r="B13" t="s">
        <v>15</v>
      </c>
      <c r="D13" t="s">
        <v>255</v>
      </c>
      <c r="F13" t="s">
        <v>9</v>
      </c>
    </row>
    <row r="14" spans="1:6" x14ac:dyDescent="0.3">
      <c r="A14" t="s">
        <v>16</v>
      </c>
      <c r="B14" t="s">
        <v>17</v>
      </c>
      <c r="D14" t="s">
        <v>255</v>
      </c>
      <c r="F14" t="s">
        <v>9</v>
      </c>
    </row>
    <row r="15" spans="1:6" x14ac:dyDescent="0.3">
      <c r="A15" t="s">
        <v>18</v>
      </c>
      <c r="B15" t="s">
        <v>19</v>
      </c>
      <c r="C15" s="31" t="s">
        <v>256</v>
      </c>
      <c r="D15" t="s">
        <v>257</v>
      </c>
      <c r="E15" t="s">
        <v>260</v>
      </c>
    </row>
    <row r="16" spans="1:6" x14ac:dyDescent="0.3">
      <c r="A16" t="s">
        <v>20</v>
      </c>
      <c r="B16" t="s">
        <v>21</v>
      </c>
      <c r="C16" s="31" t="s">
        <v>258</v>
      </c>
      <c r="D16" t="s">
        <v>259</v>
      </c>
      <c r="E16" t="s">
        <v>261</v>
      </c>
    </row>
    <row r="17" spans="1:6" x14ac:dyDescent="0.3">
      <c r="A17" t="s">
        <v>22</v>
      </c>
      <c r="B17" t="s">
        <v>23</v>
      </c>
      <c r="C17" s="31" t="s">
        <v>262</v>
      </c>
      <c r="D17" t="s">
        <v>251</v>
      </c>
      <c r="E17" t="s">
        <v>251</v>
      </c>
    </row>
    <row r="18" spans="1:6" x14ac:dyDescent="0.3">
      <c r="A18" t="s">
        <v>24</v>
      </c>
      <c r="B18" t="s">
        <v>6</v>
      </c>
      <c r="C18" s="31" t="s">
        <v>263</v>
      </c>
      <c r="F18" s="10" t="s">
        <v>173</v>
      </c>
    </row>
    <row r="19" spans="1:6" x14ac:dyDescent="0.3">
      <c r="A19" t="s">
        <v>192</v>
      </c>
      <c r="B19" t="s">
        <v>26</v>
      </c>
      <c r="C19" t="s">
        <v>296</v>
      </c>
    </row>
    <row r="20" spans="1:6" x14ac:dyDescent="0.3">
      <c r="A20" t="s">
        <v>27</v>
      </c>
      <c r="B20" t="s">
        <v>112</v>
      </c>
      <c r="C20">
        <v>4</v>
      </c>
      <c r="D20" t="s">
        <v>267</v>
      </c>
      <c r="E20" t="s">
        <v>266</v>
      </c>
      <c r="F20" s="10" t="s">
        <v>304</v>
      </c>
    </row>
    <row r="21" spans="1:6" x14ac:dyDescent="0.3">
      <c r="A21" t="s">
        <v>31</v>
      </c>
      <c r="B21" t="s">
        <v>32</v>
      </c>
      <c r="C21" s="31" t="s">
        <v>256</v>
      </c>
      <c r="D21" t="s">
        <v>257</v>
      </c>
      <c r="E21" t="s">
        <v>260</v>
      </c>
      <c r="F21" s="10" t="s">
        <v>12</v>
      </c>
    </row>
    <row r="22" spans="1:6" x14ac:dyDescent="0.3">
      <c r="A22" t="s">
        <v>36</v>
      </c>
      <c r="B22" t="s">
        <v>32</v>
      </c>
      <c r="C22" s="31" t="s">
        <v>256</v>
      </c>
      <c r="D22" t="s">
        <v>257</v>
      </c>
      <c r="E22" t="s">
        <v>260</v>
      </c>
      <c r="F22" s="10" t="s">
        <v>12</v>
      </c>
    </row>
    <row r="23" spans="1:6" x14ac:dyDescent="0.3">
      <c r="A23" t="s">
        <v>37</v>
      </c>
      <c r="B23" t="s">
        <v>207</v>
      </c>
      <c r="C23">
        <v>9000</v>
      </c>
      <c r="D23" t="s">
        <v>268</v>
      </c>
      <c r="E23" t="s">
        <v>266</v>
      </c>
    </row>
    <row r="24" spans="1:6" x14ac:dyDescent="0.3">
      <c r="A24" t="s">
        <v>39</v>
      </c>
      <c r="B24" t="s">
        <v>32</v>
      </c>
      <c r="C24" s="31" t="s">
        <v>256</v>
      </c>
      <c r="D24" t="s">
        <v>257</v>
      </c>
      <c r="E24" t="s">
        <v>260</v>
      </c>
      <c r="F24" s="10" t="s">
        <v>12</v>
      </c>
    </row>
    <row r="25" spans="1:6" x14ac:dyDescent="0.3">
      <c r="A25" t="s">
        <v>40</v>
      </c>
      <c r="B25" t="s">
        <v>2</v>
      </c>
      <c r="C25" s="31" t="s">
        <v>248</v>
      </c>
      <c r="D25" t="s">
        <v>249</v>
      </c>
      <c r="E25" t="s">
        <v>250</v>
      </c>
    </row>
    <row r="26" spans="1:6" x14ac:dyDescent="0.3">
      <c r="A26" t="s">
        <v>41</v>
      </c>
      <c r="B26" t="s">
        <v>42</v>
      </c>
      <c r="C26" t="s">
        <v>269</v>
      </c>
      <c r="D26" t="s">
        <v>270</v>
      </c>
      <c r="E26" t="s">
        <v>271</v>
      </c>
    </row>
    <row r="27" spans="1:6" x14ac:dyDescent="0.3">
      <c r="A27" t="s">
        <v>44</v>
      </c>
      <c r="B27" t="s">
        <v>23</v>
      </c>
      <c r="C27" s="31" t="s">
        <v>262</v>
      </c>
      <c r="D27" t="s">
        <v>251</v>
      </c>
      <c r="E27" t="s">
        <v>251</v>
      </c>
    </row>
    <row r="28" spans="1:6" x14ac:dyDescent="0.3">
      <c r="A28" t="s">
        <v>49</v>
      </c>
      <c r="B28" s="4" t="s">
        <v>201</v>
      </c>
      <c r="C28" t="s">
        <v>298</v>
      </c>
      <c r="D28" t="s">
        <v>273</v>
      </c>
      <c r="E28" t="s">
        <v>274</v>
      </c>
      <c r="F28" s="10" t="s">
        <v>200</v>
      </c>
    </row>
    <row r="29" spans="1:6" x14ac:dyDescent="0.3">
      <c r="A29" t="s">
        <v>50</v>
      </c>
      <c r="B29" s="4" t="s">
        <v>97</v>
      </c>
      <c r="C29" t="b">
        <v>1</v>
      </c>
      <c r="D29" t="s">
        <v>251</v>
      </c>
      <c r="E29" t="s">
        <v>251</v>
      </c>
    </row>
    <row r="30" spans="1:6" x14ac:dyDescent="0.3">
      <c r="A30" t="s">
        <v>52</v>
      </c>
      <c r="B30" s="4" t="s">
        <v>98</v>
      </c>
      <c r="C30" s="4" t="s">
        <v>275</v>
      </c>
      <c r="D30" s="4" t="s">
        <v>251</v>
      </c>
      <c r="E30" s="4" t="s">
        <v>251</v>
      </c>
    </row>
    <row r="31" spans="1:6" x14ac:dyDescent="0.3">
      <c r="A31" t="s">
        <v>53</v>
      </c>
      <c r="B31" s="4" t="s">
        <v>54</v>
      </c>
      <c r="C31" s="31" t="s">
        <v>253</v>
      </c>
      <c r="D31" t="s">
        <v>276</v>
      </c>
      <c r="E31" t="s">
        <v>266</v>
      </c>
    </row>
    <row r="32" spans="1:6" x14ac:dyDescent="0.3">
      <c r="A32" t="s">
        <v>55</v>
      </c>
      <c r="B32" s="4" t="s">
        <v>110</v>
      </c>
      <c r="C32" s="4" t="s">
        <v>300</v>
      </c>
      <c r="D32" s="4" t="s">
        <v>299</v>
      </c>
      <c r="E32" t="s">
        <v>266</v>
      </c>
    </row>
    <row r="33" spans="1:6" x14ac:dyDescent="0.3">
      <c r="A33" t="s">
        <v>56</v>
      </c>
      <c r="B33" s="4" t="s">
        <v>109</v>
      </c>
      <c r="C33" s="4" t="s">
        <v>300</v>
      </c>
      <c r="D33" s="4" t="s">
        <v>299</v>
      </c>
      <c r="E33" t="s">
        <v>266</v>
      </c>
    </row>
    <row r="34" spans="1:6" x14ac:dyDescent="0.3">
      <c r="A34" t="s">
        <v>57</v>
      </c>
      <c r="B34" s="4" t="s">
        <v>108</v>
      </c>
      <c r="C34" s="4">
        <v>1</v>
      </c>
      <c r="D34" s="4"/>
      <c r="E34" s="4"/>
    </row>
    <row r="35" spans="1:6" x14ac:dyDescent="0.3">
      <c r="A35" t="s">
        <v>58</v>
      </c>
      <c r="B35" s="4" t="s">
        <v>107</v>
      </c>
      <c r="C35" s="4">
        <v>7500</v>
      </c>
      <c r="D35" s="4" t="s">
        <v>301</v>
      </c>
      <c r="E35" s="4" t="s">
        <v>266</v>
      </c>
    </row>
    <row r="36" spans="1:6" x14ac:dyDescent="0.3">
      <c r="A36" t="s">
        <v>59</v>
      </c>
      <c r="B36" s="4" t="s">
        <v>106</v>
      </c>
      <c r="C36" s="4">
        <v>0</v>
      </c>
      <c r="D36" s="4" t="s">
        <v>251</v>
      </c>
      <c r="E36" s="4" t="s">
        <v>251</v>
      </c>
    </row>
    <row r="37" spans="1:6" x14ac:dyDescent="0.3">
      <c r="A37" t="s">
        <v>60</v>
      </c>
      <c r="B37" s="4" t="s">
        <v>105</v>
      </c>
      <c r="C37" s="4">
        <v>303</v>
      </c>
      <c r="D37" s="4" t="s">
        <v>303</v>
      </c>
      <c r="E37" s="4"/>
    </row>
    <row r="38" spans="1:6" x14ac:dyDescent="0.3">
      <c r="A38" t="s">
        <v>61</v>
      </c>
      <c r="B38" s="4" t="s">
        <v>104</v>
      </c>
      <c r="C38" s="4">
        <v>1500</v>
      </c>
      <c r="D38" s="4" t="s">
        <v>302</v>
      </c>
      <c r="E38" s="4" t="s">
        <v>266</v>
      </c>
    </row>
    <row r="39" spans="1:6" x14ac:dyDescent="0.3">
      <c r="A39" t="s">
        <v>62</v>
      </c>
      <c r="B39" s="4" t="s">
        <v>101</v>
      </c>
      <c r="C39" s="4">
        <v>0</v>
      </c>
      <c r="D39" s="4" t="s">
        <v>251</v>
      </c>
      <c r="E39" s="4"/>
    </row>
    <row r="40" spans="1:6" x14ac:dyDescent="0.3">
      <c r="A40" t="s">
        <v>63</v>
      </c>
      <c r="B40" s="4" t="s">
        <v>102</v>
      </c>
      <c r="C40" s="4">
        <v>0</v>
      </c>
      <c r="D40" s="4" t="s">
        <v>251</v>
      </c>
      <c r="E40" s="4"/>
      <c r="F40" s="21" t="s">
        <v>193</v>
      </c>
    </row>
    <row r="41" spans="1:6" x14ac:dyDescent="0.3">
      <c r="A41" t="s">
        <v>64</v>
      </c>
      <c r="B41" s="4" t="s">
        <v>103</v>
      </c>
      <c r="C41" s="4">
        <v>100</v>
      </c>
      <c r="D41" s="4" t="s">
        <v>306</v>
      </c>
      <c r="E41" s="4" t="s">
        <v>279</v>
      </c>
      <c r="F41" s="21" t="s">
        <v>307</v>
      </c>
    </row>
    <row r="42" spans="1:6" x14ac:dyDescent="0.3">
      <c r="A42" t="s">
        <v>65</v>
      </c>
      <c r="B42" s="4" t="s">
        <v>100</v>
      </c>
      <c r="C42" s="4">
        <v>100</v>
      </c>
      <c r="D42" s="4" t="s">
        <v>306</v>
      </c>
      <c r="E42" s="4" t="s">
        <v>279</v>
      </c>
      <c r="F42" s="21" t="s">
        <v>307</v>
      </c>
    </row>
    <row r="43" spans="1:6" x14ac:dyDescent="0.3">
      <c r="A43" t="s">
        <v>66</v>
      </c>
      <c r="B43" s="4" t="s">
        <v>99</v>
      </c>
      <c r="C43" s="4">
        <f>C23</f>
        <v>9000</v>
      </c>
      <c r="D43" t="s">
        <v>268</v>
      </c>
      <c r="E43" t="s">
        <v>266</v>
      </c>
    </row>
    <row r="46" spans="1:6" x14ac:dyDescent="0.3">
      <c r="A46" s="8" t="s">
        <v>111</v>
      </c>
    </row>
    <row r="48" spans="1:6" x14ac:dyDescent="0.3">
      <c r="A48" t="s">
        <v>1</v>
      </c>
      <c r="B48" t="s">
        <v>2</v>
      </c>
      <c r="C48" s="31" t="s">
        <v>248</v>
      </c>
      <c r="D48" t="s">
        <v>249</v>
      </c>
      <c r="E48" t="s">
        <v>250</v>
      </c>
    </row>
    <row r="49" spans="1:6" x14ac:dyDescent="0.3">
      <c r="A49" t="s">
        <v>3</v>
      </c>
      <c r="B49" t="s">
        <v>4</v>
      </c>
      <c r="C49" s="31" t="s">
        <v>172</v>
      </c>
      <c r="D49" s="31" t="s">
        <v>251</v>
      </c>
      <c r="E49" s="31" t="s">
        <v>251</v>
      </c>
    </row>
    <row r="50" spans="1:6" x14ac:dyDescent="0.3">
      <c r="A50" t="s">
        <v>5</v>
      </c>
      <c r="B50" t="s">
        <v>6</v>
      </c>
      <c r="C50">
        <v>900000002</v>
      </c>
      <c r="E50" t="s">
        <v>277</v>
      </c>
      <c r="F50" s="10" t="s">
        <v>191</v>
      </c>
    </row>
    <row r="51" spans="1:6" x14ac:dyDescent="0.3">
      <c r="A51" t="s">
        <v>68</v>
      </c>
      <c r="B51" t="s">
        <v>69</v>
      </c>
      <c r="C51">
        <v>1</v>
      </c>
      <c r="E51" t="s">
        <v>277</v>
      </c>
    </row>
    <row r="52" spans="1:6" x14ac:dyDescent="0.3">
      <c r="A52" t="s">
        <v>70</v>
      </c>
      <c r="B52" t="s">
        <v>71</v>
      </c>
      <c r="C52">
        <v>679</v>
      </c>
      <c r="D52" t="s">
        <v>278</v>
      </c>
      <c r="E52" t="s">
        <v>279</v>
      </c>
    </row>
    <row r="53" spans="1:6" x14ac:dyDescent="0.3">
      <c r="A53" t="s">
        <v>72</v>
      </c>
      <c r="B53" t="s">
        <v>73</v>
      </c>
      <c r="C53">
        <v>3</v>
      </c>
      <c r="D53" t="s">
        <v>283</v>
      </c>
      <c r="E53" t="s">
        <v>279</v>
      </c>
    </row>
    <row r="54" spans="1:6" x14ac:dyDescent="0.3">
      <c r="A54" t="s">
        <v>74</v>
      </c>
      <c r="B54" t="s">
        <v>75</v>
      </c>
      <c r="C54">
        <v>0</v>
      </c>
      <c r="D54" t="s">
        <v>251</v>
      </c>
      <c r="E54" t="s">
        <v>251</v>
      </c>
    </row>
    <row r="55" spans="1:6" x14ac:dyDescent="0.3">
      <c r="A55" t="s">
        <v>76</v>
      </c>
      <c r="B55" t="s">
        <v>77</v>
      </c>
      <c r="C55" t="s">
        <v>284</v>
      </c>
      <c r="D55" t="s">
        <v>285</v>
      </c>
      <c r="E55" t="s">
        <v>286</v>
      </c>
    </row>
    <row r="56" spans="1:6" x14ac:dyDescent="0.3">
      <c r="A56" t="s">
        <v>78</v>
      </c>
      <c r="B56" t="s">
        <v>90</v>
      </c>
      <c r="C56">
        <v>25</v>
      </c>
      <c r="D56" t="s">
        <v>290</v>
      </c>
      <c r="E56" t="s">
        <v>279</v>
      </c>
      <c r="F56" s="10" t="s">
        <v>202</v>
      </c>
    </row>
    <row r="57" spans="1:6" x14ac:dyDescent="0.3">
      <c r="A57" t="s">
        <v>79</v>
      </c>
      <c r="B57" t="s">
        <v>91</v>
      </c>
      <c r="C57">
        <v>100</v>
      </c>
      <c r="D57" t="s">
        <v>289</v>
      </c>
      <c r="E57" t="s">
        <v>279</v>
      </c>
    </row>
    <row r="58" spans="1:6" x14ac:dyDescent="0.3">
      <c r="A58" t="s">
        <v>80</v>
      </c>
      <c r="B58" t="s">
        <v>198</v>
      </c>
      <c r="C58">
        <v>9</v>
      </c>
      <c r="D58" t="s">
        <v>291</v>
      </c>
      <c r="E58" t="s">
        <v>292</v>
      </c>
      <c r="F58" t="s">
        <v>312</v>
      </c>
    </row>
    <row r="59" spans="1:6" x14ac:dyDescent="0.3">
      <c r="A59" t="s">
        <v>81</v>
      </c>
      <c r="B59" t="s">
        <v>198</v>
      </c>
      <c r="C59">
        <v>9</v>
      </c>
      <c r="D59" t="s">
        <v>291</v>
      </c>
      <c r="E59" t="s">
        <v>292</v>
      </c>
      <c r="F59" t="s">
        <v>312</v>
      </c>
    </row>
    <row r="60" spans="1:6" x14ac:dyDescent="0.3">
      <c r="A60" t="s">
        <v>82</v>
      </c>
      <c r="B60" t="s">
        <v>94</v>
      </c>
      <c r="C60">
        <v>2500</v>
      </c>
      <c r="D60" t="s">
        <v>293</v>
      </c>
      <c r="E60" t="s">
        <v>292</v>
      </c>
    </row>
    <row r="61" spans="1:6" x14ac:dyDescent="0.3">
      <c r="A61" t="s">
        <v>83</v>
      </c>
      <c r="B61" t="s">
        <v>92</v>
      </c>
      <c r="C61">
        <v>0</v>
      </c>
      <c r="D61" t="s">
        <v>265</v>
      </c>
      <c r="E61" t="s">
        <v>265</v>
      </c>
    </row>
    <row r="62" spans="1:6" x14ac:dyDescent="0.3">
      <c r="A62" t="s">
        <v>84</v>
      </c>
      <c r="B62" t="s">
        <v>93</v>
      </c>
      <c r="C62">
        <v>0</v>
      </c>
      <c r="D62" t="s">
        <v>265</v>
      </c>
      <c r="E62" t="s">
        <v>265</v>
      </c>
    </row>
    <row r="63" spans="1:6" x14ac:dyDescent="0.3">
      <c r="A63" t="s">
        <v>85</v>
      </c>
      <c r="B63" s="10" t="s">
        <v>212</v>
      </c>
      <c r="C63" t="s">
        <v>294</v>
      </c>
      <c r="D63" t="s">
        <v>265</v>
      </c>
      <c r="E63" t="s">
        <v>265</v>
      </c>
    </row>
    <row r="64" spans="1:6" x14ac:dyDescent="0.3">
      <c r="A64" t="s">
        <v>27</v>
      </c>
      <c r="B64" s="4" t="s">
        <v>112</v>
      </c>
      <c r="C64">
        <v>4</v>
      </c>
      <c r="D64" t="s">
        <v>251</v>
      </c>
      <c r="E64" t="s">
        <v>251</v>
      </c>
    </row>
  </sheetData>
  <phoneticPr fontId="9" type="noConversion"/>
  <pageMargins left="0.7" right="0.7" top="0.75" bottom="0.75" header="0.3" footer="0.3"/>
  <pageSetup orientation="portrait" r:id="rId1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C6D6-A3C6-4EED-A897-B261DC308D92}">
  <dimension ref="A1:F56"/>
  <sheetViews>
    <sheetView topLeftCell="B21" workbookViewId="0">
      <selection activeCell="C53" sqref="C53"/>
    </sheetView>
  </sheetViews>
  <sheetFormatPr defaultColWidth="10.88671875" defaultRowHeight="14.4" x14ac:dyDescent="0.3"/>
  <cols>
    <col min="1" max="1" width="84.33203125" bestFit="1" customWidth="1"/>
    <col min="2" max="2" width="78.33203125" customWidth="1"/>
    <col min="3" max="3" width="20.21875" bestFit="1" customWidth="1"/>
    <col min="4" max="4" width="18.6640625" customWidth="1"/>
    <col min="5" max="5" width="24.88671875" customWidth="1"/>
    <col min="6" max="6" width="132.5546875" bestFit="1" customWidth="1"/>
  </cols>
  <sheetData>
    <row r="1" spans="1:6" x14ac:dyDescent="0.3">
      <c r="A1" s="8" t="s">
        <v>113</v>
      </c>
    </row>
    <row r="2" spans="1:6" x14ac:dyDescent="0.3">
      <c r="A2" s="8"/>
    </row>
    <row r="3" spans="1:6" x14ac:dyDescent="0.3">
      <c r="A3" s="22" t="s">
        <v>196</v>
      </c>
    </row>
    <row r="4" spans="1:6" x14ac:dyDescent="0.3">
      <c r="A4" s="5" t="s">
        <v>0</v>
      </c>
    </row>
    <row r="6" spans="1:6" x14ac:dyDescent="0.3">
      <c r="A6" t="s">
        <v>1</v>
      </c>
      <c r="B6" t="s">
        <v>2</v>
      </c>
      <c r="C6" s="31" t="s">
        <v>248</v>
      </c>
      <c r="D6" t="s">
        <v>249</v>
      </c>
      <c r="E6" t="s">
        <v>250</v>
      </c>
    </row>
    <row r="7" spans="1:6" x14ac:dyDescent="0.3">
      <c r="A7" t="s">
        <v>3</v>
      </c>
      <c r="B7" t="s">
        <v>4</v>
      </c>
      <c r="C7">
        <v>0</v>
      </c>
      <c r="D7" t="s">
        <v>251</v>
      </c>
      <c r="E7" t="s">
        <v>251</v>
      </c>
    </row>
    <row r="8" spans="1:6" x14ac:dyDescent="0.3">
      <c r="A8" t="s">
        <v>5</v>
      </c>
      <c r="B8" t="s">
        <v>6</v>
      </c>
      <c r="C8">
        <v>9000000001</v>
      </c>
      <c r="E8" t="s">
        <v>252</v>
      </c>
      <c r="F8" s="10" t="s">
        <v>191</v>
      </c>
    </row>
    <row r="9" spans="1:6" x14ac:dyDescent="0.3">
      <c r="A9" t="s">
        <v>7</v>
      </c>
      <c r="B9" t="s">
        <v>8</v>
      </c>
      <c r="C9" s="31" t="s">
        <v>253</v>
      </c>
      <c r="D9" t="s">
        <v>254</v>
      </c>
      <c r="E9" t="s">
        <v>252</v>
      </c>
      <c r="F9" t="s">
        <v>9</v>
      </c>
    </row>
    <row r="10" spans="1:6" x14ac:dyDescent="0.3">
      <c r="A10" t="s">
        <v>10</v>
      </c>
      <c r="B10">
        <v>0</v>
      </c>
      <c r="C10" s="31" t="s">
        <v>172</v>
      </c>
      <c r="D10" t="s">
        <v>251</v>
      </c>
      <c r="E10" t="s">
        <v>252</v>
      </c>
      <c r="F10" s="10" t="s">
        <v>12</v>
      </c>
    </row>
    <row r="11" spans="1:6" x14ac:dyDescent="0.3">
      <c r="A11" t="s">
        <v>13</v>
      </c>
      <c r="B11">
        <v>0</v>
      </c>
      <c r="C11">
        <v>0</v>
      </c>
      <c r="D11" t="s">
        <v>251</v>
      </c>
      <c r="F11" s="10" t="s">
        <v>12</v>
      </c>
    </row>
    <row r="12" spans="1:6" x14ac:dyDescent="0.3">
      <c r="A12" t="s">
        <v>14</v>
      </c>
      <c r="B12" t="s">
        <v>15</v>
      </c>
      <c r="D12" t="s">
        <v>255</v>
      </c>
      <c r="F12" t="s">
        <v>9</v>
      </c>
    </row>
    <row r="13" spans="1:6" x14ac:dyDescent="0.3">
      <c r="A13" t="s">
        <v>16</v>
      </c>
      <c r="B13" t="s">
        <v>17</v>
      </c>
      <c r="D13" t="s">
        <v>255</v>
      </c>
      <c r="F13" t="s">
        <v>9</v>
      </c>
    </row>
    <row r="14" spans="1:6" x14ac:dyDescent="0.3">
      <c r="A14" t="s">
        <v>18</v>
      </c>
      <c r="B14" t="s">
        <v>19</v>
      </c>
      <c r="C14" s="31" t="s">
        <v>256</v>
      </c>
      <c r="D14" t="s">
        <v>257</v>
      </c>
      <c r="E14" t="s">
        <v>260</v>
      </c>
    </row>
    <row r="15" spans="1:6" x14ac:dyDescent="0.3">
      <c r="A15" t="s">
        <v>20</v>
      </c>
      <c r="B15" t="s">
        <v>21</v>
      </c>
      <c r="C15" s="31" t="s">
        <v>258</v>
      </c>
      <c r="D15" t="s">
        <v>259</v>
      </c>
      <c r="E15" t="s">
        <v>261</v>
      </c>
    </row>
    <row r="16" spans="1:6" x14ac:dyDescent="0.3">
      <c r="A16" t="s">
        <v>22</v>
      </c>
      <c r="B16" t="s">
        <v>23</v>
      </c>
      <c r="C16" s="31" t="s">
        <v>262</v>
      </c>
      <c r="D16" t="s">
        <v>251</v>
      </c>
      <c r="E16" t="s">
        <v>251</v>
      </c>
    </row>
    <row r="17" spans="1:6" x14ac:dyDescent="0.3">
      <c r="A17" t="s">
        <v>24</v>
      </c>
      <c r="B17" t="s">
        <v>6</v>
      </c>
      <c r="C17" s="31" t="s">
        <v>263</v>
      </c>
      <c r="F17" s="10" t="s">
        <v>173</v>
      </c>
    </row>
    <row r="18" spans="1:6" x14ac:dyDescent="0.3">
      <c r="A18" t="s">
        <v>115</v>
      </c>
      <c r="B18" t="s">
        <v>26</v>
      </c>
      <c r="C18" t="s">
        <v>308</v>
      </c>
      <c r="D18" t="s">
        <v>309</v>
      </c>
      <c r="E18" t="s">
        <v>310</v>
      </c>
    </row>
    <row r="19" spans="1:6" x14ac:dyDescent="0.3">
      <c r="A19" t="s">
        <v>27</v>
      </c>
      <c r="B19" t="s">
        <v>116</v>
      </c>
      <c r="C19">
        <v>4</v>
      </c>
      <c r="D19" t="s">
        <v>311</v>
      </c>
      <c r="E19" t="s">
        <v>266</v>
      </c>
      <c r="F19" s="10" t="s">
        <v>29</v>
      </c>
    </row>
    <row r="20" spans="1:6" x14ac:dyDescent="0.3">
      <c r="A20" t="s">
        <v>31</v>
      </c>
      <c r="B20" t="s">
        <v>32</v>
      </c>
      <c r="C20" s="31" t="s">
        <v>258</v>
      </c>
      <c r="D20" t="s">
        <v>259</v>
      </c>
      <c r="E20" t="s">
        <v>261</v>
      </c>
      <c r="F20" s="10" t="s">
        <v>12</v>
      </c>
    </row>
    <row r="21" spans="1:6" x14ac:dyDescent="0.3">
      <c r="A21" t="s">
        <v>33</v>
      </c>
      <c r="B21" s="4" t="s">
        <v>117</v>
      </c>
      <c r="C21" s="32" t="str">
        <f>C6</f>
        <v>0000084</v>
      </c>
      <c r="D21" s="32" t="str">
        <f t="shared" ref="D21:E21" si="0">D6</f>
        <v>kst_code</v>
      </c>
      <c r="E21" s="32" t="str">
        <f t="shared" si="0"/>
        <v>kostst</v>
      </c>
      <c r="F21" s="10" t="s">
        <v>12</v>
      </c>
    </row>
    <row r="22" spans="1:6" x14ac:dyDescent="0.3">
      <c r="A22" t="s">
        <v>36</v>
      </c>
      <c r="B22" t="s">
        <v>32</v>
      </c>
      <c r="C22" s="31" t="str">
        <f>C20</f>
        <v xml:space="preserve">2026-04-17 hh:mm:ss  </v>
      </c>
      <c r="D22" s="31" t="str">
        <f t="shared" ref="D22:E22" si="1">D20</f>
        <v>(valor cierre de día)</v>
      </c>
      <c r="E22" s="31" t="str">
        <f t="shared" si="1"/>
        <v>Termina 22:00:00</v>
      </c>
      <c r="F22" s="10" t="s">
        <v>12</v>
      </c>
    </row>
    <row r="23" spans="1:6" x14ac:dyDescent="0.3">
      <c r="A23" t="s">
        <v>37</v>
      </c>
      <c r="B23" t="s">
        <v>118</v>
      </c>
      <c r="C23">
        <v>9000</v>
      </c>
      <c r="D23" t="s">
        <v>268</v>
      </c>
      <c r="E23" t="s">
        <v>266</v>
      </c>
      <c r="F23" s="27" t="s">
        <v>208</v>
      </c>
    </row>
    <row r="24" spans="1:6" x14ac:dyDescent="0.3">
      <c r="A24" t="s">
        <v>39</v>
      </c>
      <c r="B24" t="s">
        <v>32</v>
      </c>
      <c r="C24" s="31" t="str">
        <f>C22</f>
        <v xml:space="preserve">2026-04-17 hh:mm:ss  </v>
      </c>
      <c r="D24" s="31" t="str">
        <f t="shared" ref="D24:E24" si="2">D22</f>
        <v>(valor cierre de día)</v>
      </c>
      <c r="E24" s="31" t="str">
        <f t="shared" si="2"/>
        <v>Termina 22:00:00</v>
      </c>
      <c r="F24" s="10" t="s">
        <v>12</v>
      </c>
    </row>
    <row r="25" spans="1:6" x14ac:dyDescent="0.3">
      <c r="A25" t="s">
        <v>40</v>
      </c>
      <c r="B25" t="s">
        <v>2</v>
      </c>
      <c r="C25" s="31" t="str">
        <f>C6</f>
        <v>0000084</v>
      </c>
      <c r="D25" s="31" t="str">
        <f t="shared" ref="D25:E25" si="3">D6</f>
        <v>kst_code</v>
      </c>
      <c r="E25" s="31" t="str">
        <f t="shared" si="3"/>
        <v>kostst</v>
      </c>
    </row>
    <row r="26" spans="1:6" x14ac:dyDescent="0.3">
      <c r="A26" t="s">
        <v>41</v>
      </c>
      <c r="B26" t="s">
        <v>42</v>
      </c>
      <c r="C26" t="s">
        <v>269</v>
      </c>
      <c r="D26" t="s">
        <v>270</v>
      </c>
      <c r="E26" t="s">
        <v>271</v>
      </c>
    </row>
    <row r="27" spans="1:6" x14ac:dyDescent="0.3">
      <c r="A27" t="s">
        <v>44</v>
      </c>
      <c r="B27" t="s">
        <v>23</v>
      </c>
      <c r="C27" t="s">
        <v>262</v>
      </c>
      <c r="D27" t="s">
        <v>251</v>
      </c>
      <c r="E27" t="s">
        <v>251</v>
      </c>
    </row>
    <row r="28" spans="1:6" x14ac:dyDescent="0.3">
      <c r="A28" t="s">
        <v>49</v>
      </c>
      <c r="B28" s="4" t="s">
        <v>201</v>
      </c>
      <c r="C28" t="s">
        <v>298</v>
      </c>
      <c r="D28" t="s">
        <v>273</v>
      </c>
      <c r="E28" t="s">
        <v>274</v>
      </c>
      <c r="F28" s="10" t="s">
        <v>200</v>
      </c>
    </row>
    <row r="29" spans="1:6" x14ac:dyDescent="0.3">
      <c r="A29" t="s">
        <v>50</v>
      </c>
      <c r="B29" s="4" t="s">
        <v>119</v>
      </c>
      <c r="C29" s="4" t="b">
        <v>1</v>
      </c>
      <c r="D29" s="4" t="s">
        <v>251</v>
      </c>
      <c r="E29" s="4" t="s">
        <v>251</v>
      </c>
      <c r="F29" s="10" t="s">
        <v>173</v>
      </c>
    </row>
    <row r="30" spans="1:6" x14ac:dyDescent="0.3">
      <c r="A30" t="s">
        <v>52</v>
      </c>
      <c r="B30" s="4" t="s">
        <v>194</v>
      </c>
      <c r="C30" s="4" t="s">
        <v>275</v>
      </c>
      <c r="D30" s="4" t="s">
        <v>251</v>
      </c>
      <c r="E30" s="4" t="s">
        <v>251</v>
      </c>
      <c r="F30" s="10" t="s">
        <v>12</v>
      </c>
    </row>
    <row r="31" spans="1:6" x14ac:dyDescent="0.3">
      <c r="A31" t="s">
        <v>53</v>
      </c>
      <c r="B31" s="4" t="s">
        <v>120</v>
      </c>
      <c r="C31" s="31" t="s">
        <v>253</v>
      </c>
      <c r="D31" t="s">
        <v>276</v>
      </c>
      <c r="E31" t="s">
        <v>266</v>
      </c>
      <c r="F31" s="10" t="s">
        <v>121</v>
      </c>
    </row>
    <row r="34" spans="1:6" x14ac:dyDescent="0.3">
      <c r="A34" s="5" t="s">
        <v>67</v>
      </c>
    </row>
    <row r="36" spans="1:6" x14ac:dyDescent="0.3">
      <c r="A36" t="s">
        <v>1</v>
      </c>
      <c r="B36" t="s">
        <v>2</v>
      </c>
      <c r="C36" s="31" t="s">
        <v>248</v>
      </c>
      <c r="D36" t="s">
        <v>249</v>
      </c>
      <c r="E36" t="s">
        <v>250</v>
      </c>
    </row>
    <row r="37" spans="1:6" x14ac:dyDescent="0.3">
      <c r="A37" t="s">
        <v>3</v>
      </c>
      <c r="B37" t="s">
        <v>4</v>
      </c>
      <c r="C37" s="31" t="s">
        <v>172</v>
      </c>
      <c r="D37" s="31" t="s">
        <v>251</v>
      </c>
      <c r="E37" s="31" t="s">
        <v>251</v>
      </c>
    </row>
    <row r="38" spans="1:6" x14ac:dyDescent="0.3">
      <c r="A38" t="s">
        <v>5</v>
      </c>
      <c r="B38" t="s">
        <v>6</v>
      </c>
      <c r="C38">
        <v>900000002</v>
      </c>
      <c r="E38" t="s">
        <v>277</v>
      </c>
      <c r="F38" s="10" t="s">
        <v>191</v>
      </c>
    </row>
    <row r="39" spans="1:6" x14ac:dyDescent="0.3">
      <c r="A39" t="s">
        <v>68</v>
      </c>
      <c r="B39" t="s">
        <v>123</v>
      </c>
      <c r="C39">
        <v>1</v>
      </c>
      <c r="E39" t="s">
        <v>277</v>
      </c>
    </row>
    <row r="40" spans="1:6" x14ac:dyDescent="0.3">
      <c r="A40" t="s">
        <v>70</v>
      </c>
      <c r="B40" t="s">
        <v>71</v>
      </c>
      <c r="C40">
        <v>679</v>
      </c>
      <c r="D40" t="s">
        <v>278</v>
      </c>
      <c r="E40" t="s">
        <v>279</v>
      </c>
    </row>
    <row r="41" spans="1:6" x14ac:dyDescent="0.3">
      <c r="A41" t="s">
        <v>72</v>
      </c>
      <c r="B41" t="s">
        <v>73</v>
      </c>
      <c r="C41">
        <v>3</v>
      </c>
      <c r="D41" t="s">
        <v>283</v>
      </c>
      <c r="E41" t="s">
        <v>279</v>
      </c>
    </row>
    <row r="42" spans="1:6" x14ac:dyDescent="0.3">
      <c r="A42" t="s">
        <v>74</v>
      </c>
      <c r="B42" t="s">
        <v>75</v>
      </c>
      <c r="C42">
        <v>0</v>
      </c>
      <c r="D42" t="s">
        <v>251</v>
      </c>
      <c r="E42" t="s">
        <v>251</v>
      </c>
    </row>
    <row r="43" spans="1:6" x14ac:dyDescent="0.3">
      <c r="A43" t="s">
        <v>76</v>
      </c>
      <c r="B43" t="s">
        <v>77</v>
      </c>
      <c r="C43" t="s">
        <v>284</v>
      </c>
      <c r="D43" t="s">
        <v>285</v>
      </c>
      <c r="E43" t="s">
        <v>286</v>
      </c>
    </row>
    <row r="44" spans="1:6" x14ac:dyDescent="0.3">
      <c r="A44" t="s">
        <v>78</v>
      </c>
      <c r="B44" t="s">
        <v>90</v>
      </c>
      <c r="C44">
        <v>25</v>
      </c>
      <c r="D44" t="s">
        <v>290</v>
      </c>
      <c r="E44" t="s">
        <v>279</v>
      </c>
      <c r="F44" s="10" t="s">
        <v>202</v>
      </c>
    </row>
    <row r="45" spans="1:6" x14ac:dyDescent="0.3">
      <c r="A45" t="s">
        <v>79</v>
      </c>
      <c r="B45" t="s">
        <v>91</v>
      </c>
      <c r="C45">
        <v>100</v>
      </c>
      <c r="D45" t="s">
        <v>289</v>
      </c>
      <c r="E45" t="s">
        <v>279</v>
      </c>
    </row>
    <row r="46" spans="1:6" x14ac:dyDescent="0.3">
      <c r="A46" t="s">
        <v>80</v>
      </c>
      <c r="B46" t="s">
        <v>198</v>
      </c>
      <c r="C46">
        <v>9</v>
      </c>
      <c r="D46" t="s">
        <v>291</v>
      </c>
      <c r="E46" t="s">
        <v>292</v>
      </c>
      <c r="F46" t="s">
        <v>197</v>
      </c>
    </row>
    <row r="47" spans="1:6" x14ac:dyDescent="0.3">
      <c r="A47" t="s">
        <v>81</v>
      </c>
      <c r="B47" t="s">
        <v>198</v>
      </c>
      <c r="C47">
        <v>9</v>
      </c>
      <c r="D47" t="s">
        <v>291</v>
      </c>
      <c r="E47" t="s">
        <v>292</v>
      </c>
      <c r="F47" t="s">
        <v>197</v>
      </c>
    </row>
    <row r="48" spans="1:6" x14ac:dyDescent="0.3">
      <c r="A48" t="s">
        <v>82</v>
      </c>
      <c r="B48" t="s">
        <v>124</v>
      </c>
      <c r="C48">
        <v>2500</v>
      </c>
      <c r="D48" t="s">
        <v>293</v>
      </c>
      <c r="E48" t="s">
        <v>292</v>
      </c>
    </row>
    <row r="49" spans="1:6" x14ac:dyDescent="0.3">
      <c r="A49" t="s">
        <v>83</v>
      </c>
      <c r="B49" t="s">
        <v>92</v>
      </c>
      <c r="C49">
        <v>0</v>
      </c>
      <c r="D49" t="s">
        <v>265</v>
      </c>
      <c r="E49" t="s">
        <v>265</v>
      </c>
    </row>
    <row r="50" spans="1:6" x14ac:dyDescent="0.3">
      <c r="A50" t="s">
        <v>84</v>
      </c>
      <c r="B50" t="s">
        <v>125</v>
      </c>
      <c r="C50">
        <v>0</v>
      </c>
      <c r="D50" t="s">
        <v>265</v>
      </c>
      <c r="E50" t="s">
        <v>265</v>
      </c>
    </row>
    <row r="51" spans="1:6" x14ac:dyDescent="0.3">
      <c r="A51" t="s">
        <v>85</v>
      </c>
      <c r="B51" s="10" t="s">
        <v>206</v>
      </c>
      <c r="C51" t="s">
        <v>294</v>
      </c>
      <c r="D51" t="s">
        <v>265</v>
      </c>
      <c r="E51" t="s">
        <v>265</v>
      </c>
    </row>
    <row r="52" spans="1:6" x14ac:dyDescent="0.3">
      <c r="A52" t="s">
        <v>87</v>
      </c>
      <c r="B52" t="s">
        <v>95</v>
      </c>
      <c r="C52">
        <v>4</v>
      </c>
      <c r="D52" t="s">
        <v>251</v>
      </c>
      <c r="E52" t="s">
        <v>251</v>
      </c>
    </row>
    <row r="53" spans="1:6" ht="43.2" x14ac:dyDescent="0.3">
      <c r="A53" t="s">
        <v>27</v>
      </c>
      <c r="B53" s="4" t="s">
        <v>126</v>
      </c>
      <c r="C53" s="4"/>
      <c r="D53" s="4"/>
      <c r="E53" s="4"/>
      <c r="F53" s="23" t="s">
        <v>210</v>
      </c>
    </row>
    <row r="56" spans="1:6" x14ac:dyDescent="0.3">
      <c r="A56" s="7" t="s">
        <v>122</v>
      </c>
    </row>
  </sheetData>
  <pageMargins left="0.7" right="0.7" top="0.75" bottom="0.75" header="0.3" footer="0.3"/>
  <pageSetup orientation="portrait" r:id="rId1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1A16-C90A-4460-8176-C3E702B1CBF5}">
  <dimension ref="A1:H56"/>
  <sheetViews>
    <sheetView topLeftCell="A26" workbookViewId="0">
      <selection activeCell="A38" sqref="A38:A41"/>
    </sheetView>
  </sheetViews>
  <sheetFormatPr defaultColWidth="10.88671875" defaultRowHeight="14.4" x14ac:dyDescent="0.3"/>
  <cols>
    <col min="1" max="3" width="46.21875" customWidth="1"/>
    <col min="4" max="4" width="62.44140625" bestFit="1" customWidth="1"/>
    <col min="5" max="5" width="46.21875" customWidth="1"/>
    <col min="6" max="6" width="46.21875" hidden="1" customWidth="1"/>
    <col min="7" max="7" width="78.5546875" bestFit="1" customWidth="1"/>
    <col min="8" max="8" width="132.5546875" bestFit="1" customWidth="1"/>
  </cols>
  <sheetData>
    <row r="1" spans="1:8" x14ac:dyDescent="0.3">
      <c r="A1" s="8" t="s">
        <v>127</v>
      </c>
      <c r="B1" s="8"/>
      <c r="C1" s="8"/>
      <c r="D1" s="8"/>
      <c r="E1" s="8"/>
      <c r="F1" s="8"/>
    </row>
    <row r="4" spans="1:8" x14ac:dyDescent="0.3">
      <c r="A4" s="5" t="s">
        <v>0</v>
      </c>
      <c r="B4" s="5"/>
      <c r="C4" s="5"/>
      <c r="D4" s="5"/>
      <c r="E4" s="5"/>
      <c r="F4" s="5"/>
    </row>
    <row r="6" spans="1:8" s="28" customFormat="1" x14ac:dyDescent="0.3">
      <c r="A6" s="28" t="s">
        <v>1</v>
      </c>
      <c r="B6" s="28" t="s">
        <v>242</v>
      </c>
      <c r="C6" s="31" t="s">
        <v>248</v>
      </c>
      <c r="D6" t="s">
        <v>249</v>
      </c>
      <c r="E6" t="s">
        <v>250</v>
      </c>
      <c r="G6" s="28" t="s">
        <v>2</v>
      </c>
    </row>
    <row r="7" spans="1:8" s="28" customFormat="1" x14ac:dyDescent="0.3">
      <c r="A7" s="28" t="s">
        <v>3</v>
      </c>
      <c r="B7" s="28">
        <v>0</v>
      </c>
      <c r="C7">
        <v>0</v>
      </c>
      <c r="D7" t="s">
        <v>251</v>
      </c>
      <c r="E7" t="s">
        <v>251</v>
      </c>
      <c r="G7" s="28" t="s">
        <v>4</v>
      </c>
    </row>
    <row r="8" spans="1:8" s="28" customFormat="1" ht="43.2" x14ac:dyDescent="0.3">
      <c r="A8" s="28" t="s">
        <v>5</v>
      </c>
      <c r="B8" s="30" t="s">
        <v>216</v>
      </c>
      <c r="C8">
        <v>9000000001</v>
      </c>
      <c r="D8"/>
      <c r="E8" t="s">
        <v>252</v>
      </c>
      <c r="G8" s="28" t="s">
        <v>6</v>
      </c>
      <c r="H8" s="28" t="s">
        <v>191</v>
      </c>
    </row>
    <row r="9" spans="1:8" s="28" customFormat="1" x14ac:dyDescent="0.3">
      <c r="A9" s="28" t="s">
        <v>7</v>
      </c>
      <c r="B9" s="28" t="s">
        <v>241</v>
      </c>
      <c r="C9" s="31" t="s">
        <v>253</v>
      </c>
      <c r="D9" t="s">
        <v>254</v>
      </c>
      <c r="E9" t="s">
        <v>252</v>
      </c>
      <c r="G9" s="28" t="s">
        <v>8</v>
      </c>
      <c r="H9" s="28" t="s">
        <v>9</v>
      </c>
    </row>
    <row r="10" spans="1:8" s="28" customFormat="1" x14ac:dyDescent="0.3">
      <c r="A10" s="28" t="s">
        <v>10</v>
      </c>
      <c r="B10" s="28" t="s">
        <v>217</v>
      </c>
      <c r="C10" s="31" t="s">
        <v>172</v>
      </c>
      <c r="D10" t="s">
        <v>251</v>
      </c>
      <c r="E10" t="s">
        <v>252</v>
      </c>
      <c r="G10" s="28" t="s">
        <v>11</v>
      </c>
      <c r="H10" s="28" t="s">
        <v>12</v>
      </c>
    </row>
    <row r="11" spans="1:8" s="28" customFormat="1" x14ac:dyDescent="0.3">
      <c r="A11" s="28" t="s">
        <v>13</v>
      </c>
      <c r="B11" s="28" t="s">
        <v>217</v>
      </c>
      <c r="C11">
        <v>0</v>
      </c>
      <c r="D11" t="s">
        <v>251</v>
      </c>
      <c r="E11"/>
      <c r="G11" s="28" t="s">
        <v>11</v>
      </c>
      <c r="H11" s="28" t="s">
        <v>12</v>
      </c>
    </row>
    <row r="12" spans="1:8" s="28" customFormat="1" x14ac:dyDescent="0.3">
      <c r="A12" s="28" t="s">
        <v>14</v>
      </c>
      <c r="B12" s="28" t="s">
        <v>217</v>
      </c>
      <c r="C12"/>
      <c r="D12" t="s">
        <v>255</v>
      </c>
      <c r="E12"/>
      <c r="G12" s="28" t="s">
        <v>15</v>
      </c>
      <c r="H12" s="28" t="s">
        <v>9</v>
      </c>
    </row>
    <row r="13" spans="1:8" s="28" customFormat="1" x14ac:dyDescent="0.3">
      <c r="A13" s="28" t="s">
        <v>16</v>
      </c>
      <c r="B13" s="28" t="s">
        <v>217</v>
      </c>
      <c r="C13"/>
      <c r="D13" t="s">
        <v>255</v>
      </c>
      <c r="E13"/>
      <c r="G13" s="28" t="s">
        <v>17</v>
      </c>
      <c r="H13" s="28" t="s">
        <v>9</v>
      </c>
    </row>
    <row r="14" spans="1:8" s="28" customFormat="1" x14ac:dyDescent="0.3">
      <c r="A14" s="28" t="s">
        <v>18</v>
      </c>
      <c r="B14" s="28" t="s">
        <v>218</v>
      </c>
      <c r="C14" s="31" t="s">
        <v>256</v>
      </c>
      <c r="D14" t="s">
        <v>257</v>
      </c>
      <c r="E14" t="s">
        <v>260</v>
      </c>
      <c r="G14" s="28" t="s">
        <v>19</v>
      </c>
    </row>
    <row r="15" spans="1:8" s="28" customFormat="1" x14ac:dyDescent="0.3">
      <c r="A15" s="28" t="s">
        <v>20</v>
      </c>
      <c r="B15" s="28" t="s">
        <v>218</v>
      </c>
      <c r="C15" s="31" t="s">
        <v>258</v>
      </c>
      <c r="D15" t="s">
        <v>259</v>
      </c>
      <c r="E15" t="s">
        <v>261</v>
      </c>
      <c r="G15" s="28" t="s">
        <v>21</v>
      </c>
    </row>
    <row r="16" spans="1:8" s="28" customFormat="1" x14ac:dyDescent="0.3">
      <c r="A16" s="28" t="s">
        <v>22</v>
      </c>
      <c r="B16" s="28" t="s">
        <v>240</v>
      </c>
      <c r="C16" s="31" t="s">
        <v>262</v>
      </c>
      <c r="D16" t="s">
        <v>251</v>
      </c>
      <c r="E16" t="s">
        <v>251</v>
      </c>
      <c r="G16" s="28" t="s">
        <v>23</v>
      </c>
    </row>
    <row r="17" spans="1:8" s="28" customFormat="1" x14ac:dyDescent="0.3">
      <c r="A17" s="28" t="s">
        <v>24</v>
      </c>
      <c r="B17" s="28" t="s">
        <v>219</v>
      </c>
      <c r="C17" s="31" t="s">
        <v>263</v>
      </c>
      <c r="D17"/>
      <c r="E17"/>
      <c r="G17" s="28" t="s">
        <v>6</v>
      </c>
      <c r="H17" s="28" t="s">
        <v>173</v>
      </c>
    </row>
    <row r="18" spans="1:8" s="28" customFormat="1" x14ac:dyDescent="0.3">
      <c r="A18" s="28" t="s">
        <v>128</v>
      </c>
      <c r="B18" s="28" t="s">
        <v>220</v>
      </c>
      <c r="C18" t="s">
        <v>313</v>
      </c>
      <c r="D18"/>
      <c r="E18"/>
      <c r="G18" s="28" t="s">
        <v>26</v>
      </c>
    </row>
    <row r="19" spans="1:8" s="28" customFormat="1" x14ac:dyDescent="0.3">
      <c r="A19" s="28" t="s">
        <v>27</v>
      </c>
      <c r="B19" s="28" t="s">
        <v>221</v>
      </c>
      <c r="C19" s="28">
        <v>2</v>
      </c>
      <c r="D19" s="28" t="s">
        <v>315</v>
      </c>
      <c r="E19" s="28" t="s">
        <v>314</v>
      </c>
      <c r="G19" s="28" t="s">
        <v>129</v>
      </c>
      <c r="H19" s="28" t="s">
        <v>29</v>
      </c>
    </row>
    <row r="20" spans="1:8" s="28" customFormat="1" x14ac:dyDescent="0.3">
      <c r="A20" s="28" t="s">
        <v>30</v>
      </c>
      <c r="B20" s="28" t="s">
        <v>222</v>
      </c>
      <c r="C20" s="28" t="s">
        <v>316</v>
      </c>
      <c r="D20" s="28" t="s">
        <v>317</v>
      </c>
      <c r="E20" s="28" t="s">
        <v>318</v>
      </c>
      <c r="G20" s="28" t="s">
        <v>130</v>
      </c>
    </row>
    <row r="21" spans="1:8" s="28" customFormat="1" x14ac:dyDescent="0.3">
      <c r="A21" s="28" t="s">
        <v>31</v>
      </c>
      <c r="B21" s="28" t="s">
        <v>223</v>
      </c>
      <c r="C21" s="31" t="s">
        <v>258</v>
      </c>
      <c r="D21" s="28" t="s">
        <v>319</v>
      </c>
      <c r="E21" s="28" t="s">
        <v>318</v>
      </c>
      <c r="G21" s="28" t="s">
        <v>32</v>
      </c>
      <c r="H21" s="28" t="s">
        <v>12</v>
      </c>
    </row>
    <row r="22" spans="1:8" s="28" customFormat="1" x14ac:dyDescent="0.3">
      <c r="A22" s="28" t="s">
        <v>33</v>
      </c>
      <c r="B22" s="28" t="s">
        <v>224</v>
      </c>
      <c r="C22" s="33" t="str">
        <f>C6</f>
        <v>0000084</v>
      </c>
      <c r="D22" s="28" t="str">
        <f>D6</f>
        <v>kst_code</v>
      </c>
      <c r="E22" s="28" t="str">
        <f>E6</f>
        <v>kostst</v>
      </c>
      <c r="G22" s="28" t="s">
        <v>131</v>
      </c>
    </row>
    <row r="23" spans="1:8" s="28" customFormat="1" x14ac:dyDescent="0.3">
      <c r="A23" s="28" t="s">
        <v>36</v>
      </c>
      <c r="B23" s="28" t="s">
        <v>223</v>
      </c>
      <c r="C23" s="31" t="s">
        <v>258</v>
      </c>
      <c r="D23" s="28" t="s">
        <v>319</v>
      </c>
      <c r="E23" s="28" t="s">
        <v>318</v>
      </c>
      <c r="G23" s="28" t="s">
        <v>32</v>
      </c>
      <c r="H23" s="28" t="s">
        <v>12</v>
      </c>
    </row>
    <row r="24" spans="1:8" s="28" customFormat="1" x14ac:dyDescent="0.3">
      <c r="A24" s="28" t="s">
        <v>37</v>
      </c>
      <c r="B24" s="28" t="s">
        <v>225</v>
      </c>
      <c r="C24" s="28" t="s">
        <v>358</v>
      </c>
      <c r="D24" s="28" t="s">
        <v>359</v>
      </c>
      <c r="G24" s="28" t="s">
        <v>132</v>
      </c>
    </row>
    <row r="25" spans="1:8" s="28" customFormat="1" x14ac:dyDescent="0.3">
      <c r="A25" s="28" t="s">
        <v>39</v>
      </c>
      <c r="B25" s="28" t="s">
        <v>223</v>
      </c>
      <c r="C25" s="31" t="s">
        <v>258</v>
      </c>
      <c r="D25" s="28" t="s">
        <v>319</v>
      </c>
      <c r="E25" s="28" t="s">
        <v>318</v>
      </c>
      <c r="G25" s="28" t="s">
        <v>32</v>
      </c>
      <c r="H25" s="28" t="s">
        <v>12</v>
      </c>
    </row>
    <row r="26" spans="1:8" s="28" customFormat="1" x14ac:dyDescent="0.3">
      <c r="A26" s="28" t="s">
        <v>40</v>
      </c>
      <c r="B26" s="28" t="s">
        <v>242</v>
      </c>
      <c r="C26" s="31" t="s">
        <v>248</v>
      </c>
      <c r="D26" t="s">
        <v>249</v>
      </c>
      <c r="E26" t="s">
        <v>250</v>
      </c>
      <c r="G26" s="28" t="s">
        <v>2</v>
      </c>
    </row>
    <row r="27" spans="1:8" s="28" customFormat="1" x14ac:dyDescent="0.3">
      <c r="A27" s="28" t="s">
        <v>41</v>
      </c>
      <c r="B27" s="28" t="s">
        <v>226</v>
      </c>
      <c r="C27" s="28" t="s">
        <v>275</v>
      </c>
      <c r="D27" s="28" t="s">
        <v>251</v>
      </c>
      <c r="G27" s="28" t="s">
        <v>133</v>
      </c>
    </row>
    <row r="28" spans="1:8" s="28" customFormat="1" x14ac:dyDescent="0.3">
      <c r="A28" s="28" t="s">
        <v>44</v>
      </c>
      <c r="B28" s="28" t="s">
        <v>227</v>
      </c>
      <c r="C28" s="28" t="s">
        <v>251</v>
      </c>
      <c r="D28" s="28" t="s">
        <v>251</v>
      </c>
      <c r="G28" s="28" t="s">
        <v>23</v>
      </c>
    </row>
    <row r="29" spans="1:8" s="28" customFormat="1" x14ac:dyDescent="0.3">
      <c r="A29" s="28" t="s">
        <v>48</v>
      </c>
      <c r="B29" s="28" t="s">
        <v>222</v>
      </c>
      <c r="C29" s="28" t="s">
        <v>251</v>
      </c>
      <c r="D29" s="28" t="s">
        <v>265</v>
      </c>
      <c r="G29" s="28" t="s">
        <v>134</v>
      </c>
      <c r="H29" s="28" t="s">
        <v>135</v>
      </c>
    </row>
    <row r="30" spans="1:8" s="28" customFormat="1" x14ac:dyDescent="0.3">
      <c r="A30" s="28" t="s">
        <v>49</v>
      </c>
      <c r="B30" s="28" t="s">
        <v>226</v>
      </c>
      <c r="C30" s="28" t="s">
        <v>275</v>
      </c>
      <c r="D30" s="28" t="s">
        <v>265</v>
      </c>
      <c r="G30" s="28" t="s">
        <v>133</v>
      </c>
    </row>
    <row r="31" spans="1:8" s="28" customFormat="1" x14ac:dyDescent="0.3">
      <c r="A31" s="28" t="s">
        <v>50</v>
      </c>
      <c r="B31" s="28" t="b">
        <v>0</v>
      </c>
      <c r="C31" s="28" t="b">
        <v>0</v>
      </c>
      <c r="D31" s="28" t="s">
        <v>265</v>
      </c>
      <c r="G31" s="28" t="s">
        <v>136</v>
      </c>
    </row>
    <row r="32" spans="1:8" s="28" customFormat="1" x14ac:dyDescent="0.3">
      <c r="A32" s="28" t="s">
        <v>52</v>
      </c>
      <c r="B32" s="28" t="s">
        <v>226</v>
      </c>
      <c r="C32" s="28" t="s">
        <v>177</v>
      </c>
      <c r="G32" s="28" t="s">
        <v>177</v>
      </c>
      <c r="H32" s="28" t="s">
        <v>12</v>
      </c>
    </row>
    <row r="33" spans="1:8" s="28" customFormat="1" x14ac:dyDescent="0.3">
      <c r="A33" s="28" t="s">
        <v>53</v>
      </c>
      <c r="B33" s="28" t="s">
        <v>228</v>
      </c>
      <c r="C33" s="31" t="s">
        <v>258</v>
      </c>
      <c r="D33" s="28" t="s">
        <v>319</v>
      </c>
      <c r="E33" s="28" t="s">
        <v>318</v>
      </c>
      <c r="G33" s="28" t="s">
        <v>137</v>
      </c>
    </row>
    <row r="34" spans="1:8" s="28" customFormat="1" ht="15" customHeight="1" x14ac:dyDescent="0.3"/>
    <row r="35" spans="1:8" s="28" customFormat="1" ht="15" customHeight="1" x14ac:dyDescent="0.3"/>
    <row r="36" spans="1:8" s="28" customFormat="1" ht="15" customHeight="1" x14ac:dyDescent="0.3">
      <c r="A36" s="28" t="s">
        <v>67</v>
      </c>
    </row>
    <row r="37" spans="1:8" s="28" customFormat="1" ht="15" customHeight="1" x14ac:dyDescent="0.3"/>
    <row r="38" spans="1:8" s="28" customFormat="1" ht="15" customHeight="1" x14ac:dyDescent="0.3">
      <c r="A38" s="28" t="s">
        <v>1</v>
      </c>
      <c r="B38" s="28" t="s">
        <v>215</v>
      </c>
      <c r="C38" s="31" t="s">
        <v>248</v>
      </c>
      <c r="D38" t="s">
        <v>249</v>
      </c>
      <c r="E38" t="s">
        <v>250</v>
      </c>
      <c r="G38" s="28" t="s">
        <v>2</v>
      </c>
    </row>
    <row r="39" spans="1:8" s="28" customFormat="1" ht="15" customHeight="1" x14ac:dyDescent="0.3">
      <c r="A39" s="28" t="s">
        <v>3</v>
      </c>
      <c r="B39" s="28">
        <v>0</v>
      </c>
      <c r="C39" s="31" t="s">
        <v>172</v>
      </c>
      <c r="D39" s="31" t="s">
        <v>251</v>
      </c>
      <c r="E39" s="31" t="s">
        <v>251</v>
      </c>
      <c r="G39" s="28" t="s">
        <v>4</v>
      </c>
    </row>
    <row r="40" spans="1:8" s="28" customFormat="1" ht="15" customHeight="1" x14ac:dyDescent="0.3">
      <c r="A40" s="28" t="s">
        <v>5</v>
      </c>
      <c r="B40" s="28" t="s">
        <v>216</v>
      </c>
      <c r="C40">
        <v>900000002</v>
      </c>
      <c r="D40"/>
      <c r="E40" t="s">
        <v>277</v>
      </c>
      <c r="G40" s="28" t="s">
        <v>6</v>
      </c>
      <c r="H40" s="28" t="s">
        <v>191</v>
      </c>
    </row>
    <row r="41" spans="1:8" s="28" customFormat="1" ht="15" customHeight="1" x14ac:dyDescent="0.3">
      <c r="A41" s="28" t="s">
        <v>68</v>
      </c>
      <c r="B41" s="28" t="s">
        <v>229</v>
      </c>
      <c r="C41">
        <v>1</v>
      </c>
      <c r="D41"/>
      <c r="E41" t="s">
        <v>277</v>
      </c>
      <c r="G41" s="28" t="s">
        <v>69</v>
      </c>
    </row>
    <row r="42" spans="1:8" s="28" customFormat="1" ht="15" customHeight="1" x14ac:dyDescent="0.3">
      <c r="A42" s="28" t="s">
        <v>70</v>
      </c>
      <c r="B42" s="28" t="s">
        <v>230</v>
      </c>
      <c r="C42" s="28" t="s">
        <v>345</v>
      </c>
      <c r="D42" s="28" t="s">
        <v>348</v>
      </c>
      <c r="E42" s="28" t="s">
        <v>349</v>
      </c>
      <c r="G42" s="28" t="s">
        <v>71</v>
      </c>
    </row>
    <row r="43" spans="1:8" s="28" customFormat="1" ht="15" customHeight="1" x14ac:dyDescent="0.3">
      <c r="A43" s="28" t="s">
        <v>72</v>
      </c>
      <c r="B43" s="28" t="s">
        <v>231</v>
      </c>
      <c r="C43" s="28" t="s">
        <v>347</v>
      </c>
      <c r="D43" s="28" t="s">
        <v>348</v>
      </c>
      <c r="E43" s="28" t="s">
        <v>349</v>
      </c>
      <c r="G43" s="28" t="s">
        <v>73</v>
      </c>
    </row>
    <row r="44" spans="1:8" s="28" customFormat="1" ht="15" customHeight="1" x14ac:dyDescent="0.3">
      <c r="A44" s="28" t="s">
        <v>74</v>
      </c>
      <c r="B44" s="28" t="s">
        <v>232</v>
      </c>
      <c r="C44" s="28">
        <v>0</v>
      </c>
      <c r="D44" s="28" t="s">
        <v>251</v>
      </c>
      <c r="E44" s="28" t="s">
        <v>251</v>
      </c>
      <c r="G44" s="28" t="s">
        <v>75</v>
      </c>
    </row>
    <row r="45" spans="1:8" s="28" customFormat="1" ht="15" customHeight="1" x14ac:dyDescent="0.3">
      <c r="A45" s="28" t="s">
        <v>76</v>
      </c>
      <c r="B45" s="28" t="s">
        <v>233</v>
      </c>
      <c r="C45" s="28" t="s">
        <v>285</v>
      </c>
      <c r="D45" s="28" t="s">
        <v>286</v>
      </c>
      <c r="E45" s="28" t="s">
        <v>350</v>
      </c>
      <c r="G45" s="28" t="s">
        <v>77</v>
      </c>
    </row>
    <row r="46" spans="1:8" s="28" customFormat="1" ht="15" customHeight="1" x14ac:dyDescent="0.3">
      <c r="A46" s="28" t="s">
        <v>78</v>
      </c>
      <c r="B46" s="28" t="s">
        <v>234</v>
      </c>
      <c r="C46" s="28" t="s">
        <v>351</v>
      </c>
      <c r="D46" s="28" t="s">
        <v>346</v>
      </c>
      <c r="E46" s="28" t="s">
        <v>346</v>
      </c>
      <c r="G46" s="28" t="s">
        <v>90</v>
      </c>
      <c r="H46" s="28" t="s">
        <v>202</v>
      </c>
    </row>
    <row r="47" spans="1:8" s="28" customFormat="1" ht="15" customHeight="1" x14ac:dyDescent="0.3">
      <c r="A47" s="28" t="s">
        <v>79</v>
      </c>
      <c r="B47" s="28" t="s">
        <v>235</v>
      </c>
      <c r="C47" s="28" t="s">
        <v>352</v>
      </c>
      <c r="D47" s="28" t="s">
        <v>346</v>
      </c>
      <c r="E47" s="28" t="s">
        <v>353</v>
      </c>
      <c r="G47" s="28" t="s">
        <v>138</v>
      </c>
    </row>
    <row r="48" spans="1:8" s="28" customFormat="1" ht="15" customHeight="1" x14ac:dyDescent="0.3">
      <c r="A48" s="28" t="s">
        <v>82</v>
      </c>
      <c r="B48" s="28" t="s">
        <v>236</v>
      </c>
      <c r="C48" s="28" t="s">
        <v>354</v>
      </c>
      <c r="D48" s="28" t="s">
        <v>355</v>
      </c>
      <c r="G48" s="28" t="s">
        <v>139</v>
      </c>
    </row>
    <row r="49" spans="1:8" s="28" customFormat="1" ht="15" customHeight="1" x14ac:dyDescent="0.3">
      <c r="A49" s="28" t="s">
        <v>83</v>
      </c>
      <c r="B49" s="28" t="s">
        <v>237</v>
      </c>
      <c r="C49" s="28">
        <v>0</v>
      </c>
      <c r="D49" s="28" t="s">
        <v>251</v>
      </c>
      <c r="G49" s="28" t="s">
        <v>140</v>
      </c>
    </row>
    <row r="50" spans="1:8" s="28" customFormat="1" ht="15" customHeight="1" x14ac:dyDescent="0.3">
      <c r="A50" s="28" t="s">
        <v>84</v>
      </c>
      <c r="B50" s="28" t="s">
        <v>243</v>
      </c>
      <c r="C50" s="28">
        <v>0</v>
      </c>
      <c r="D50" s="28" t="s">
        <v>251</v>
      </c>
      <c r="F50" s="29" t="s">
        <v>244</v>
      </c>
      <c r="G50" s="28" t="s">
        <v>141</v>
      </c>
    </row>
    <row r="51" spans="1:8" s="28" customFormat="1" ht="15" customHeight="1" x14ac:dyDescent="0.3">
      <c r="A51" s="28" t="s">
        <v>85</v>
      </c>
      <c r="B51" s="28" t="s">
        <v>238</v>
      </c>
      <c r="C51" s="28" t="s">
        <v>356</v>
      </c>
      <c r="G51" s="28" t="s">
        <v>203</v>
      </c>
      <c r="H51" s="28" t="s">
        <v>214</v>
      </c>
    </row>
    <row r="52" spans="1:8" s="28" customFormat="1" ht="15" customHeight="1" x14ac:dyDescent="0.3">
      <c r="A52" s="28" t="s">
        <v>87</v>
      </c>
      <c r="B52" s="28">
        <v>0</v>
      </c>
      <c r="C52" s="28">
        <v>0</v>
      </c>
      <c r="G52" s="28" t="s">
        <v>95</v>
      </c>
    </row>
    <row r="53" spans="1:8" s="28" customFormat="1" ht="15" customHeight="1" x14ac:dyDescent="0.3">
      <c r="A53" s="28" t="s">
        <v>27</v>
      </c>
      <c r="B53" s="28" t="s">
        <v>239</v>
      </c>
      <c r="C53" s="28">
        <v>2</v>
      </c>
      <c r="D53" s="28" t="s">
        <v>251</v>
      </c>
      <c r="E53" s="28" t="s">
        <v>357</v>
      </c>
      <c r="G53" s="28" t="s">
        <v>143</v>
      </c>
    </row>
    <row r="54" spans="1:8" ht="15" customHeight="1" x14ac:dyDescent="0.3"/>
    <row r="55" spans="1:8" ht="15" customHeight="1" x14ac:dyDescent="0.3"/>
    <row r="56" spans="1:8" x14ac:dyDescent="0.3">
      <c r="A56" s="7" t="s">
        <v>144</v>
      </c>
      <c r="B56" s="7"/>
      <c r="C56" s="7"/>
      <c r="D56" s="7"/>
      <c r="E56" s="7"/>
      <c r="F56" s="7"/>
    </row>
  </sheetData>
  <pageMargins left="0.7" right="0.7" top="0.75" bottom="0.75" header="0.3" footer="0.3"/>
  <pageSetup orientation="portrait" r:id="rId1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A328E-0164-4135-804E-F1BB3BC1A193}">
  <dimension ref="A1:F64"/>
  <sheetViews>
    <sheetView topLeftCell="A21" workbookViewId="0">
      <selection activeCell="A53" sqref="A53"/>
    </sheetView>
  </sheetViews>
  <sheetFormatPr defaultColWidth="10.88671875" defaultRowHeight="14.4" x14ac:dyDescent="0.3"/>
  <cols>
    <col min="1" max="1" width="54.33203125" customWidth="1"/>
    <col min="2" max="2" width="65.33203125" customWidth="1"/>
    <col min="3" max="3" width="32.88671875" customWidth="1"/>
    <col min="4" max="4" width="41.77734375" customWidth="1"/>
    <col min="5" max="5" width="25.77734375" customWidth="1"/>
    <col min="6" max="6" width="160.5546875" bestFit="1" customWidth="1"/>
  </cols>
  <sheetData>
    <row r="1" spans="1:6" x14ac:dyDescent="0.3">
      <c r="A1" s="8" t="s">
        <v>145</v>
      </c>
    </row>
    <row r="3" spans="1:6" x14ac:dyDescent="0.3">
      <c r="A3" s="9" t="s">
        <v>195</v>
      </c>
      <c r="B3" s="9"/>
      <c r="C3" s="9"/>
      <c r="D3" s="9"/>
      <c r="E3" s="9"/>
    </row>
    <row r="4" spans="1:6" x14ac:dyDescent="0.3">
      <c r="A4" s="5" t="s">
        <v>0</v>
      </c>
    </row>
    <row r="5" spans="1:6" x14ac:dyDescent="0.3">
      <c r="C5" t="s">
        <v>320</v>
      </c>
      <c r="D5" t="s">
        <v>246</v>
      </c>
      <c r="E5" t="s">
        <v>247</v>
      </c>
    </row>
    <row r="6" spans="1:6" x14ac:dyDescent="0.3">
      <c r="A6" t="s">
        <v>1</v>
      </c>
      <c r="B6" t="s">
        <v>2</v>
      </c>
      <c r="C6" s="31" t="s">
        <v>248</v>
      </c>
      <c r="D6" t="s">
        <v>249</v>
      </c>
      <c r="E6" t="s">
        <v>250</v>
      </c>
    </row>
    <row r="7" spans="1:6" x14ac:dyDescent="0.3">
      <c r="A7" t="s">
        <v>3</v>
      </c>
      <c r="B7" t="s">
        <v>4</v>
      </c>
      <c r="C7" s="31" t="s">
        <v>172</v>
      </c>
      <c r="D7" t="s">
        <v>251</v>
      </c>
      <c r="E7" t="s">
        <v>251</v>
      </c>
    </row>
    <row r="8" spans="1:6" x14ac:dyDescent="0.3">
      <c r="A8" t="s">
        <v>5</v>
      </c>
      <c r="B8" t="s">
        <v>6</v>
      </c>
      <c r="C8">
        <v>9000000001</v>
      </c>
      <c r="E8" t="s">
        <v>252</v>
      </c>
      <c r="F8" s="10" t="s">
        <v>191</v>
      </c>
    </row>
    <row r="9" spans="1:6" x14ac:dyDescent="0.3">
      <c r="A9" t="s">
        <v>7</v>
      </c>
      <c r="B9" t="s">
        <v>8</v>
      </c>
      <c r="C9" s="31" t="s">
        <v>253</v>
      </c>
      <c r="D9" t="s">
        <v>254</v>
      </c>
      <c r="E9" t="s">
        <v>252</v>
      </c>
      <c r="F9" t="s">
        <v>9</v>
      </c>
    </row>
    <row r="10" spans="1:6" x14ac:dyDescent="0.3">
      <c r="A10" t="s">
        <v>10</v>
      </c>
      <c r="B10" s="11" t="s">
        <v>172</v>
      </c>
      <c r="C10" s="34" t="s">
        <v>172</v>
      </c>
      <c r="D10" t="s">
        <v>251</v>
      </c>
      <c r="E10" t="s">
        <v>252</v>
      </c>
      <c r="F10" s="10" t="s">
        <v>12</v>
      </c>
    </row>
    <row r="11" spans="1:6" x14ac:dyDescent="0.3">
      <c r="A11" t="s">
        <v>13</v>
      </c>
      <c r="B11" s="11" t="s">
        <v>172</v>
      </c>
      <c r="C11" s="35">
        <v>0</v>
      </c>
      <c r="D11" t="s">
        <v>251</v>
      </c>
      <c r="F11" s="10" t="s">
        <v>12</v>
      </c>
    </row>
    <row r="12" spans="1:6" x14ac:dyDescent="0.3">
      <c r="A12" t="s">
        <v>14</v>
      </c>
      <c r="B12" t="s">
        <v>15</v>
      </c>
      <c r="D12" t="s">
        <v>255</v>
      </c>
      <c r="F12" t="s">
        <v>9</v>
      </c>
    </row>
    <row r="13" spans="1:6" x14ac:dyDescent="0.3">
      <c r="A13" t="s">
        <v>16</v>
      </c>
      <c r="B13" t="s">
        <v>17</v>
      </c>
      <c r="D13" t="s">
        <v>255</v>
      </c>
      <c r="F13" t="s">
        <v>9</v>
      </c>
    </row>
    <row r="14" spans="1:6" x14ac:dyDescent="0.3">
      <c r="A14" t="s">
        <v>18</v>
      </c>
      <c r="B14" t="s">
        <v>19</v>
      </c>
      <c r="C14" s="31" t="s">
        <v>256</v>
      </c>
      <c r="D14" t="s">
        <v>257</v>
      </c>
      <c r="E14" t="s">
        <v>260</v>
      </c>
    </row>
    <row r="15" spans="1:6" x14ac:dyDescent="0.3">
      <c r="A15" t="s">
        <v>20</v>
      </c>
      <c r="B15" t="s">
        <v>21</v>
      </c>
      <c r="C15" s="31" t="s">
        <v>258</v>
      </c>
      <c r="D15" t="s">
        <v>259</v>
      </c>
      <c r="E15" t="s">
        <v>261</v>
      </c>
    </row>
    <row r="16" spans="1:6" x14ac:dyDescent="0.3">
      <c r="A16" t="s">
        <v>22</v>
      </c>
      <c r="B16" t="s">
        <v>23</v>
      </c>
      <c r="C16" s="31" t="s">
        <v>262</v>
      </c>
      <c r="D16" t="s">
        <v>251</v>
      </c>
      <c r="E16" t="s">
        <v>251</v>
      </c>
    </row>
    <row r="17" spans="1:6" x14ac:dyDescent="0.3">
      <c r="A17" t="s">
        <v>24</v>
      </c>
      <c r="B17" t="s">
        <v>6</v>
      </c>
      <c r="C17" s="31" t="s">
        <v>263</v>
      </c>
      <c r="F17" s="10" t="s">
        <v>173</v>
      </c>
    </row>
    <row r="18" spans="1:6" x14ac:dyDescent="0.3">
      <c r="A18" t="s">
        <v>128</v>
      </c>
      <c r="B18" t="s">
        <v>26</v>
      </c>
      <c r="C18" t="s">
        <v>313</v>
      </c>
      <c r="D18" t="s">
        <v>321</v>
      </c>
      <c r="E18" t="s">
        <v>322</v>
      </c>
    </row>
    <row r="19" spans="1:6" x14ac:dyDescent="0.3">
      <c r="A19" t="s">
        <v>27</v>
      </c>
      <c r="B19" t="s">
        <v>146</v>
      </c>
      <c r="C19">
        <v>4</v>
      </c>
      <c r="D19" t="s">
        <v>323</v>
      </c>
      <c r="E19" t="s">
        <v>322</v>
      </c>
      <c r="F19" s="10" t="s">
        <v>29</v>
      </c>
    </row>
    <row r="20" spans="1:6" x14ac:dyDescent="0.3">
      <c r="A20" t="s">
        <v>30</v>
      </c>
      <c r="B20" t="s">
        <v>147</v>
      </c>
      <c r="C20" s="31" t="s">
        <v>324</v>
      </c>
      <c r="D20" t="s">
        <v>325</v>
      </c>
      <c r="E20" t="s">
        <v>322</v>
      </c>
    </row>
    <row r="21" spans="1:6" x14ac:dyDescent="0.3">
      <c r="A21" t="s">
        <v>31</v>
      </c>
      <c r="B21" t="s">
        <v>32</v>
      </c>
      <c r="C21" s="31" t="s">
        <v>258</v>
      </c>
      <c r="D21" t="s">
        <v>319</v>
      </c>
      <c r="E21" t="s">
        <v>322</v>
      </c>
      <c r="F21" s="10" t="s">
        <v>12</v>
      </c>
    </row>
    <row r="22" spans="1:6" x14ac:dyDescent="0.3">
      <c r="A22" t="s">
        <v>33</v>
      </c>
      <c r="B22" s="4" t="s">
        <v>131</v>
      </c>
      <c r="C22" s="32" t="str">
        <f>C6</f>
        <v>0000084</v>
      </c>
      <c r="D22" s="32" t="str">
        <f t="shared" ref="D22:E22" si="0">D6</f>
        <v>kst_code</v>
      </c>
      <c r="E22" s="32" t="str">
        <f t="shared" si="0"/>
        <v>kostst</v>
      </c>
    </row>
    <row r="23" spans="1:6" x14ac:dyDescent="0.3">
      <c r="A23" t="s">
        <v>36</v>
      </c>
      <c r="B23" t="s">
        <v>32</v>
      </c>
      <c r="C23" s="31" t="s">
        <v>258</v>
      </c>
      <c r="D23" t="s">
        <v>319</v>
      </c>
      <c r="E23" t="s">
        <v>322</v>
      </c>
      <c r="F23" s="10" t="s">
        <v>12</v>
      </c>
    </row>
    <row r="24" spans="1:6" x14ac:dyDescent="0.3">
      <c r="A24" t="s">
        <v>37</v>
      </c>
      <c r="B24" t="s">
        <v>148</v>
      </c>
      <c r="C24" s="31" t="s">
        <v>326</v>
      </c>
      <c r="D24" t="s">
        <v>329</v>
      </c>
      <c r="E24" t="s">
        <v>327</v>
      </c>
      <c r="F24" t="s">
        <v>328</v>
      </c>
    </row>
    <row r="25" spans="1:6" x14ac:dyDescent="0.3">
      <c r="A25" t="s">
        <v>39</v>
      </c>
      <c r="B25" t="s">
        <v>32</v>
      </c>
      <c r="C25" t="s">
        <v>258</v>
      </c>
      <c r="D25" t="s">
        <v>319</v>
      </c>
      <c r="E25" t="s">
        <v>322</v>
      </c>
      <c r="F25" s="10" t="s">
        <v>12</v>
      </c>
    </row>
    <row r="26" spans="1:6" x14ac:dyDescent="0.3">
      <c r="A26" t="s">
        <v>40</v>
      </c>
      <c r="B26" t="s">
        <v>2</v>
      </c>
      <c r="C26" s="31" t="str">
        <f>C6</f>
        <v>0000084</v>
      </c>
      <c r="D26" s="31" t="str">
        <f t="shared" ref="D26:E26" si="1">D6</f>
        <v>kst_code</v>
      </c>
      <c r="E26" s="31" t="str">
        <f t="shared" si="1"/>
        <v>kostst</v>
      </c>
    </row>
    <row r="27" spans="1:6" x14ac:dyDescent="0.3">
      <c r="A27" t="s">
        <v>41</v>
      </c>
      <c r="B27" t="s">
        <v>133</v>
      </c>
      <c r="C27" s="31" t="s">
        <v>275</v>
      </c>
      <c r="D27" t="s">
        <v>330</v>
      </c>
      <c r="E27" t="s">
        <v>251</v>
      </c>
    </row>
    <row r="28" spans="1:6" x14ac:dyDescent="0.3">
      <c r="A28" t="s">
        <v>44</v>
      </c>
      <c r="B28" t="s">
        <v>23</v>
      </c>
      <c r="C28" s="31" t="s">
        <v>262</v>
      </c>
      <c r="D28" t="s">
        <v>251</v>
      </c>
      <c r="E28" t="s">
        <v>251</v>
      </c>
    </row>
    <row r="29" spans="1:6" x14ac:dyDescent="0.3">
      <c r="A29" t="s">
        <v>48</v>
      </c>
      <c r="B29" s="4" t="s">
        <v>149</v>
      </c>
      <c r="C29" s="4" t="s">
        <v>326</v>
      </c>
      <c r="D29" s="4" t="s">
        <v>331</v>
      </c>
      <c r="E29" s="4" t="s">
        <v>322</v>
      </c>
      <c r="F29" s="10" t="s">
        <v>150</v>
      </c>
    </row>
    <row r="30" spans="1:6" x14ac:dyDescent="0.3">
      <c r="A30" t="s">
        <v>49</v>
      </c>
      <c r="B30" t="s">
        <v>151</v>
      </c>
      <c r="C30" s="31" t="s">
        <v>275</v>
      </c>
      <c r="D30" t="s">
        <v>330</v>
      </c>
      <c r="E30" t="s">
        <v>251</v>
      </c>
    </row>
    <row r="31" spans="1:6" x14ac:dyDescent="0.3">
      <c r="A31" t="s">
        <v>50</v>
      </c>
      <c r="B31" s="4" t="s">
        <v>136</v>
      </c>
      <c r="C31" s="4" t="b">
        <v>0</v>
      </c>
      <c r="D31" s="4" t="s">
        <v>251</v>
      </c>
      <c r="E31" s="4" t="s">
        <v>251</v>
      </c>
    </row>
    <row r="32" spans="1:6" x14ac:dyDescent="0.3">
      <c r="A32" t="s">
        <v>52</v>
      </c>
      <c r="B32" s="4" t="s">
        <v>177</v>
      </c>
      <c r="C32" s="4" t="s">
        <v>275</v>
      </c>
      <c r="D32" s="4" t="s">
        <v>251</v>
      </c>
      <c r="E32" s="4" t="s">
        <v>251</v>
      </c>
      <c r="F32" s="10" t="s">
        <v>12</v>
      </c>
    </row>
    <row r="33" spans="1:6" x14ac:dyDescent="0.3">
      <c r="A33" t="s">
        <v>53</v>
      </c>
      <c r="B33" s="4" t="s">
        <v>137</v>
      </c>
      <c r="C33" t="s">
        <v>258</v>
      </c>
      <c r="D33" t="s">
        <v>319</v>
      </c>
      <c r="E33" t="s">
        <v>322</v>
      </c>
    </row>
    <row r="34" spans="1:6" x14ac:dyDescent="0.3">
      <c r="B34" s="4"/>
      <c r="C34" s="4"/>
      <c r="D34" s="4"/>
      <c r="E34" s="4"/>
    </row>
    <row r="35" spans="1:6" x14ac:dyDescent="0.3">
      <c r="B35" s="4"/>
      <c r="C35" s="4"/>
      <c r="D35" s="4"/>
      <c r="E35" s="4"/>
    </row>
    <row r="37" spans="1:6" x14ac:dyDescent="0.3">
      <c r="A37" s="5" t="s">
        <v>67</v>
      </c>
    </row>
    <row r="39" spans="1:6" x14ac:dyDescent="0.3">
      <c r="A39" t="s">
        <v>1</v>
      </c>
      <c r="B39" t="s">
        <v>2</v>
      </c>
      <c r="C39" s="31" t="s">
        <v>248</v>
      </c>
      <c r="D39" t="s">
        <v>249</v>
      </c>
      <c r="E39" t="s">
        <v>250</v>
      </c>
    </row>
    <row r="40" spans="1:6" x14ac:dyDescent="0.3">
      <c r="A40" t="s">
        <v>3</v>
      </c>
      <c r="B40" t="s">
        <v>4</v>
      </c>
      <c r="C40" s="31" t="s">
        <v>172</v>
      </c>
      <c r="D40" t="s">
        <v>251</v>
      </c>
      <c r="E40" t="s">
        <v>251</v>
      </c>
    </row>
    <row r="41" spans="1:6" x14ac:dyDescent="0.3">
      <c r="A41" t="s">
        <v>5</v>
      </c>
      <c r="B41" t="s">
        <v>6</v>
      </c>
      <c r="C41">
        <v>9000000001</v>
      </c>
      <c r="E41" t="s">
        <v>252</v>
      </c>
      <c r="F41" s="10" t="s">
        <v>191</v>
      </c>
    </row>
    <row r="42" spans="1:6" x14ac:dyDescent="0.3">
      <c r="A42" t="s">
        <v>68</v>
      </c>
      <c r="B42" t="s">
        <v>69</v>
      </c>
      <c r="C42">
        <v>1</v>
      </c>
      <c r="D42" t="s">
        <v>332</v>
      </c>
      <c r="E42" t="s">
        <v>333</v>
      </c>
      <c r="F42" t="s">
        <v>328</v>
      </c>
    </row>
    <row r="43" spans="1:6" x14ac:dyDescent="0.3">
      <c r="A43" t="s">
        <v>70</v>
      </c>
      <c r="B43" t="s">
        <v>71</v>
      </c>
      <c r="C43" t="s">
        <v>337</v>
      </c>
      <c r="D43" t="s">
        <v>338</v>
      </c>
      <c r="E43" t="s">
        <v>333</v>
      </c>
      <c r="F43" t="s">
        <v>334</v>
      </c>
    </row>
    <row r="44" spans="1:6" x14ac:dyDescent="0.3">
      <c r="A44" t="s">
        <v>72</v>
      </c>
      <c r="B44" t="s">
        <v>73</v>
      </c>
      <c r="C44" t="s">
        <v>336</v>
      </c>
      <c r="D44" t="s">
        <v>283</v>
      </c>
      <c r="E44" t="s">
        <v>333</v>
      </c>
      <c r="F44" t="s">
        <v>335</v>
      </c>
    </row>
    <row r="45" spans="1:6" x14ac:dyDescent="0.3">
      <c r="A45" t="s">
        <v>74</v>
      </c>
      <c r="B45" t="s">
        <v>75</v>
      </c>
      <c r="C45" t="s">
        <v>255</v>
      </c>
      <c r="D45" t="s">
        <v>251</v>
      </c>
      <c r="E45" t="s">
        <v>251</v>
      </c>
    </row>
    <row r="46" spans="1:6" x14ac:dyDescent="0.3">
      <c r="A46" t="s">
        <v>76</v>
      </c>
      <c r="B46" t="s">
        <v>77</v>
      </c>
      <c r="C46" t="s">
        <v>285</v>
      </c>
      <c r="D46" t="s">
        <v>338</v>
      </c>
      <c r="E46" t="s">
        <v>333</v>
      </c>
    </row>
    <row r="47" spans="1:6" x14ac:dyDescent="0.3">
      <c r="A47" t="s">
        <v>78</v>
      </c>
      <c r="B47" t="s">
        <v>90</v>
      </c>
      <c r="C47" t="s">
        <v>339</v>
      </c>
      <c r="D47" t="s">
        <v>339</v>
      </c>
      <c r="E47" t="s">
        <v>333</v>
      </c>
      <c r="F47" s="10" t="s">
        <v>202</v>
      </c>
    </row>
    <row r="48" spans="1:6" x14ac:dyDescent="0.3">
      <c r="A48" t="s">
        <v>79</v>
      </c>
      <c r="B48" t="s">
        <v>152</v>
      </c>
      <c r="C48" t="s">
        <v>360</v>
      </c>
      <c r="D48" t="s">
        <v>361</v>
      </c>
      <c r="E48" t="s">
        <v>333</v>
      </c>
    </row>
    <row r="49" spans="1:6" x14ac:dyDescent="0.3">
      <c r="A49" t="s">
        <v>80</v>
      </c>
      <c r="B49" t="s">
        <v>198</v>
      </c>
      <c r="C49" t="s">
        <v>340</v>
      </c>
      <c r="D49" t="s">
        <v>341</v>
      </c>
      <c r="E49" t="s">
        <v>343</v>
      </c>
      <c r="F49" t="s">
        <v>342</v>
      </c>
    </row>
    <row r="50" spans="1:6" x14ac:dyDescent="0.3">
      <c r="A50" t="s">
        <v>81</v>
      </c>
      <c r="B50" t="s">
        <v>198</v>
      </c>
      <c r="C50" t="s">
        <v>340</v>
      </c>
      <c r="D50" t="s">
        <v>341</v>
      </c>
      <c r="E50" t="s">
        <v>343</v>
      </c>
      <c r="F50" t="s">
        <v>197</v>
      </c>
    </row>
    <row r="51" spans="1:6" x14ac:dyDescent="0.3">
      <c r="A51" t="s">
        <v>82</v>
      </c>
      <c r="B51" t="s">
        <v>154</v>
      </c>
      <c r="C51" t="str">
        <f>C47</f>
        <v>vbt_wes</v>
      </c>
      <c r="D51" t="str">
        <f>D47</f>
        <v>vbt_wes</v>
      </c>
      <c r="E51" t="str">
        <f>E47</f>
        <v>His_Verbrauchpos</v>
      </c>
    </row>
    <row r="52" spans="1:6" x14ac:dyDescent="0.3">
      <c r="A52" t="s">
        <v>83</v>
      </c>
      <c r="B52" t="s">
        <v>155</v>
      </c>
      <c r="C52">
        <v>0</v>
      </c>
      <c r="D52" t="s">
        <v>251</v>
      </c>
      <c r="E52" t="s">
        <v>251</v>
      </c>
    </row>
    <row r="53" spans="1:6" x14ac:dyDescent="0.3">
      <c r="A53" t="s">
        <v>85</v>
      </c>
      <c r="B53" s="10" t="s">
        <v>153</v>
      </c>
      <c r="C53" s="10">
        <v>0</v>
      </c>
      <c r="D53" s="10">
        <v>0</v>
      </c>
      <c r="E53" s="10">
        <v>0</v>
      </c>
      <c r="F53" s="10" t="s">
        <v>213</v>
      </c>
    </row>
    <row r="54" spans="1:6" x14ac:dyDescent="0.3">
      <c r="A54" t="s">
        <v>87</v>
      </c>
      <c r="B54" t="s">
        <v>95</v>
      </c>
      <c r="C54">
        <v>0</v>
      </c>
      <c r="D54" t="s">
        <v>251</v>
      </c>
      <c r="E54" t="s">
        <v>251</v>
      </c>
    </row>
    <row r="55" spans="1:6" x14ac:dyDescent="0.3">
      <c r="A55" t="s">
        <v>88</v>
      </c>
      <c r="B55" s="4" t="s">
        <v>142</v>
      </c>
      <c r="C55" s="4" t="s">
        <v>344</v>
      </c>
      <c r="D55" s="4" t="s">
        <v>251</v>
      </c>
      <c r="E55" s="4" t="s">
        <v>251</v>
      </c>
    </row>
    <row r="56" spans="1:6" x14ac:dyDescent="0.3">
      <c r="A56" t="s">
        <v>39</v>
      </c>
      <c r="B56" s="4" t="s">
        <v>156</v>
      </c>
      <c r="C56" s="4" t="str">
        <f>C33</f>
        <v xml:space="preserve">2026-04-17 hh:mm:ss  </v>
      </c>
      <c r="D56" t="s">
        <v>319</v>
      </c>
      <c r="E56" t="s">
        <v>322</v>
      </c>
    </row>
    <row r="57" spans="1:6" x14ac:dyDescent="0.3">
      <c r="A57" t="s">
        <v>27</v>
      </c>
      <c r="B57" s="4" t="s">
        <v>157</v>
      </c>
      <c r="C57" s="4">
        <v>4</v>
      </c>
      <c r="D57" s="4" t="s">
        <v>251</v>
      </c>
      <c r="E57" s="4" t="s">
        <v>251</v>
      </c>
    </row>
    <row r="64" spans="1:6" x14ac:dyDescent="0.3">
      <c r="A64" s="7" t="s">
        <v>158</v>
      </c>
    </row>
  </sheetData>
  <phoneticPr fontId="9" type="noConversion"/>
  <pageMargins left="0.7" right="0.7" top="0.75" bottom="0.75" header="0.3" footer="0.3"/>
  <pageSetup orientation="portrait" r:id="rId1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EB09B-E7E7-4FF0-91A5-CC8502AA9B1E}">
  <dimension ref="A1:F56"/>
  <sheetViews>
    <sheetView tabSelected="1" topLeftCell="A25" workbookViewId="0">
      <selection activeCell="B49" sqref="B49"/>
    </sheetView>
  </sheetViews>
  <sheetFormatPr defaultColWidth="10.88671875" defaultRowHeight="14.4" x14ac:dyDescent="0.3"/>
  <cols>
    <col min="1" max="4" width="46.21875" customWidth="1"/>
    <col min="5" max="5" width="77.5546875" bestFit="1" customWidth="1"/>
    <col min="6" max="6" width="160.5546875" hidden="1" customWidth="1"/>
  </cols>
  <sheetData>
    <row r="1" spans="1:6" x14ac:dyDescent="0.3">
      <c r="A1" s="8" t="s">
        <v>159</v>
      </c>
      <c r="B1" s="8"/>
      <c r="C1" s="8"/>
      <c r="D1" s="8"/>
    </row>
    <row r="4" spans="1:6" x14ac:dyDescent="0.3">
      <c r="A4" s="5" t="s">
        <v>0</v>
      </c>
      <c r="B4" s="5"/>
      <c r="C4" s="5"/>
      <c r="D4" s="5"/>
    </row>
    <row r="6" spans="1:6" x14ac:dyDescent="0.3">
      <c r="A6" t="s">
        <v>1</v>
      </c>
      <c r="B6" t="s">
        <v>2</v>
      </c>
      <c r="C6" s="31" t="s">
        <v>248</v>
      </c>
      <c r="D6" t="s">
        <v>249</v>
      </c>
      <c r="E6" t="s">
        <v>250</v>
      </c>
    </row>
    <row r="7" spans="1:6" x14ac:dyDescent="0.3">
      <c r="A7" t="s">
        <v>3</v>
      </c>
      <c r="B7" t="s">
        <v>4</v>
      </c>
      <c r="C7" s="31" t="s">
        <v>172</v>
      </c>
      <c r="D7" t="s">
        <v>251</v>
      </c>
      <c r="E7" t="s">
        <v>251</v>
      </c>
    </row>
    <row r="8" spans="1:6" x14ac:dyDescent="0.3">
      <c r="A8" t="s">
        <v>5</v>
      </c>
      <c r="B8" t="s">
        <v>6</v>
      </c>
      <c r="C8">
        <v>9000000001</v>
      </c>
      <c r="E8" t="s">
        <v>252</v>
      </c>
      <c r="F8" s="10" t="s">
        <v>191</v>
      </c>
    </row>
    <row r="9" spans="1:6" x14ac:dyDescent="0.3">
      <c r="A9" t="s">
        <v>7</v>
      </c>
      <c r="B9" t="s">
        <v>8</v>
      </c>
      <c r="C9" s="31" t="s">
        <v>253</v>
      </c>
      <c r="D9" t="s">
        <v>254</v>
      </c>
      <c r="E9" t="s">
        <v>252</v>
      </c>
      <c r="F9" t="s">
        <v>9</v>
      </c>
    </row>
    <row r="10" spans="1:6" x14ac:dyDescent="0.3">
      <c r="A10" t="s">
        <v>10</v>
      </c>
      <c r="B10" s="34" t="s">
        <v>172</v>
      </c>
      <c r="C10" t="s">
        <v>251</v>
      </c>
      <c r="D10" t="s">
        <v>252</v>
      </c>
      <c r="E10" s="11" t="s">
        <v>172</v>
      </c>
      <c r="F10" s="10" t="s">
        <v>12</v>
      </c>
    </row>
    <row r="11" spans="1:6" x14ac:dyDescent="0.3">
      <c r="A11" t="s">
        <v>13</v>
      </c>
      <c r="B11" s="35">
        <v>0</v>
      </c>
      <c r="C11" t="s">
        <v>251</v>
      </c>
      <c r="E11" s="11" t="s">
        <v>172</v>
      </c>
      <c r="F11" s="10" t="s">
        <v>12</v>
      </c>
    </row>
    <row r="12" spans="1:6" x14ac:dyDescent="0.3">
      <c r="A12" t="s">
        <v>14</v>
      </c>
      <c r="C12" t="s">
        <v>255</v>
      </c>
      <c r="E12" t="s">
        <v>15</v>
      </c>
      <c r="F12" t="s">
        <v>9</v>
      </c>
    </row>
    <row r="13" spans="1:6" x14ac:dyDescent="0.3">
      <c r="A13" t="s">
        <v>16</v>
      </c>
      <c r="C13" t="s">
        <v>255</v>
      </c>
      <c r="E13" t="s">
        <v>17</v>
      </c>
      <c r="F13" t="s">
        <v>9</v>
      </c>
    </row>
    <row r="14" spans="1:6" x14ac:dyDescent="0.3">
      <c r="A14" t="s">
        <v>18</v>
      </c>
      <c r="B14" s="31" t="s">
        <v>256</v>
      </c>
      <c r="C14" t="s">
        <v>257</v>
      </c>
      <c r="D14" t="s">
        <v>260</v>
      </c>
      <c r="E14" t="s">
        <v>19</v>
      </c>
    </row>
    <row r="15" spans="1:6" x14ac:dyDescent="0.3">
      <c r="A15" t="s">
        <v>20</v>
      </c>
      <c r="B15" s="31" t="s">
        <v>258</v>
      </c>
      <c r="C15" t="s">
        <v>259</v>
      </c>
      <c r="D15" t="s">
        <v>261</v>
      </c>
      <c r="E15" t="s">
        <v>21</v>
      </c>
    </row>
    <row r="16" spans="1:6" x14ac:dyDescent="0.3">
      <c r="A16" t="s">
        <v>22</v>
      </c>
      <c r="B16" s="31" t="s">
        <v>262</v>
      </c>
      <c r="C16" t="s">
        <v>251</v>
      </c>
      <c r="D16" t="s">
        <v>251</v>
      </c>
      <c r="E16" t="s">
        <v>23</v>
      </c>
    </row>
    <row r="17" spans="1:6" x14ac:dyDescent="0.3">
      <c r="A17" t="s">
        <v>24</v>
      </c>
      <c r="B17" s="31" t="s">
        <v>263</v>
      </c>
      <c r="E17" t="s">
        <v>6</v>
      </c>
      <c r="F17" s="10" t="s">
        <v>173</v>
      </c>
    </row>
    <row r="18" spans="1:6" x14ac:dyDescent="0.3">
      <c r="A18" t="s">
        <v>160</v>
      </c>
      <c r="B18" s="31" t="s">
        <v>362</v>
      </c>
      <c r="C18" t="s">
        <v>363</v>
      </c>
      <c r="D18" t="s">
        <v>364</v>
      </c>
      <c r="E18" t="s">
        <v>26</v>
      </c>
    </row>
    <row r="19" spans="1:6" x14ac:dyDescent="0.3">
      <c r="A19" t="s">
        <v>27</v>
      </c>
      <c r="B19">
        <v>2</v>
      </c>
      <c r="C19" t="s">
        <v>251</v>
      </c>
      <c r="D19" t="s">
        <v>251</v>
      </c>
      <c r="E19" t="s">
        <v>161</v>
      </c>
      <c r="F19" s="10" t="s">
        <v>29</v>
      </c>
    </row>
    <row r="20" spans="1:6" x14ac:dyDescent="0.3">
      <c r="A20" t="s">
        <v>30</v>
      </c>
      <c r="B20" s="31" t="s">
        <v>275</v>
      </c>
      <c r="C20" t="s">
        <v>251</v>
      </c>
      <c r="D20" t="s">
        <v>251</v>
      </c>
      <c r="E20" t="s">
        <v>162</v>
      </c>
    </row>
    <row r="21" spans="1:6" x14ac:dyDescent="0.3">
      <c r="A21" t="s">
        <v>31</v>
      </c>
      <c r="B21" s="31" t="s">
        <v>319</v>
      </c>
      <c r="C21" t="s">
        <v>363</v>
      </c>
      <c r="D21" t="s">
        <v>363</v>
      </c>
      <c r="E21" t="s">
        <v>32</v>
      </c>
      <c r="F21" s="10" t="s">
        <v>12</v>
      </c>
    </row>
    <row r="22" spans="1:6" x14ac:dyDescent="0.3">
      <c r="A22" t="s">
        <v>33</v>
      </c>
      <c r="B22" s="31" t="s">
        <v>369</v>
      </c>
      <c r="C22" t="s">
        <v>363</v>
      </c>
      <c r="D22" t="s">
        <v>365</v>
      </c>
      <c r="E22" s="4" t="s">
        <v>163</v>
      </c>
    </row>
    <row r="23" spans="1:6" x14ac:dyDescent="0.3">
      <c r="A23" t="s">
        <v>36</v>
      </c>
      <c r="B23" s="31" t="s">
        <v>319</v>
      </c>
      <c r="C23" t="s">
        <v>363</v>
      </c>
      <c r="D23" t="s">
        <v>363</v>
      </c>
      <c r="E23" t="s">
        <v>32</v>
      </c>
      <c r="F23" s="10" t="s">
        <v>12</v>
      </c>
    </row>
    <row r="24" spans="1:6" x14ac:dyDescent="0.3">
      <c r="A24" t="s">
        <v>37</v>
      </c>
      <c r="B24" s="31" t="s">
        <v>366</v>
      </c>
      <c r="C24" t="s">
        <v>367</v>
      </c>
      <c r="D24" t="s">
        <v>368</v>
      </c>
      <c r="E24" t="s">
        <v>164</v>
      </c>
    </row>
    <row r="25" spans="1:6" x14ac:dyDescent="0.3">
      <c r="A25" t="s">
        <v>39</v>
      </c>
      <c r="B25" s="31" t="s">
        <v>319</v>
      </c>
      <c r="C25" t="s">
        <v>363</v>
      </c>
      <c r="D25" t="s">
        <v>363</v>
      </c>
      <c r="E25" t="s">
        <v>32</v>
      </c>
      <c r="F25" s="10" t="s">
        <v>12</v>
      </c>
    </row>
    <row r="26" spans="1:6" x14ac:dyDescent="0.3">
      <c r="A26" t="s">
        <v>40</v>
      </c>
      <c r="B26" s="31" t="s">
        <v>370</v>
      </c>
      <c r="C26" t="s">
        <v>363</v>
      </c>
      <c r="D26" t="s">
        <v>365</v>
      </c>
      <c r="E26" t="s">
        <v>2</v>
      </c>
    </row>
    <row r="27" spans="1:6" x14ac:dyDescent="0.3">
      <c r="A27" t="s">
        <v>44</v>
      </c>
      <c r="B27" s="31" t="s">
        <v>371</v>
      </c>
      <c r="C27" t="s">
        <v>251</v>
      </c>
      <c r="D27" t="s">
        <v>251</v>
      </c>
      <c r="E27" t="s">
        <v>165</v>
      </c>
    </row>
    <row r="28" spans="1:6" x14ac:dyDescent="0.3">
      <c r="A28" t="s">
        <v>50</v>
      </c>
      <c r="B28" t="b">
        <v>0</v>
      </c>
      <c r="C28" t="s">
        <v>265</v>
      </c>
      <c r="D28" t="s">
        <v>265</v>
      </c>
      <c r="E28" s="4" t="s">
        <v>136</v>
      </c>
    </row>
    <row r="29" spans="1:6" x14ac:dyDescent="0.3">
      <c r="A29" t="s">
        <v>52</v>
      </c>
      <c r="B29" s="31" t="s">
        <v>177</v>
      </c>
      <c r="C29" t="s">
        <v>265</v>
      </c>
      <c r="D29" t="s">
        <v>265</v>
      </c>
      <c r="E29" s="4" t="s">
        <v>177</v>
      </c>
      <c r="F29" s="10" t="s">
        <v>12</v>
      </c>
    </row>
    <row r="30" spans="1:6" x14ac:dyDescent="0.3">
      <c r="A30" t="s">
        <v>53</v>
      </c>
      <c r="B30" s="31" t="s">
        <v>319</v>
      </c>
      <c r="C30" t="s">
        <v>363</v>
      </c>
      <c r="D30" t="s">
        <v>363</v>
      </c>
      <c r="E30" s="4" t="s">
        <v>137</v>
      </c>
    </row>
    <row r="31" spans="1:6" x14ac:dyDescent="0.3">
      <c r="E31" s="4"/>
    </row>
    <row r="33" spans="1:6" x14ac:dyDescent="0.3">
      <c r="A33" s="5" t="s">
        <v>67</v>
      </c>
      <c r="B33" s="5"/>
      <c r="C33" s="5"/>
      <c r="D33" s="5"/>
    </row>
    <row r="35" spans="1:6" x14ac:dyDescent="0.3">
      <c r="A35" t="s">
        <v>1</v>
      </c>
      <c r="B35" s="31" t="s">
        <v>248</v>
      </c>
      <c r="C35" t="s">
        <v>249</v>
      </c>
      <c r="D35" t="s">
        <v>250</v>
      </c>
      <c r="E35" t="s">
        <v>2</v>
      </c>
    </row>
    <row r="36" spans="1:6" x14ac:dyDescent="0.3">
      <c r="A36" t="s">
        <v>3</v>
      </c>
      <c r="B36" s="31" t="s">
        <v>172</v>
      </c>
      <c r="C36" t="s">
        <v>251</v>
      </c>
      <c r="D36" t="s">
        <v>251</v>
      </c>
      <c r="E36" t="s">
        <v>4</v>
      </c>
    </row>
    <row r="37" spans="1:6" x14ac:dyDescent="0.3">
      <c r="A37" t="s">
        <v>5</v>
      </c>
      <c r="B37">
        <v>9000000001</v>
      </c>
      <c r="D37" t="s">
        <v>252</v>
      </c>
      <c r="E37" t="s">
        <v>6</v>
      </c>
      <c r="F37" s="10" t="s">
        <v>191</v>
      </c>
    </row>
    <row r="38" spans="1:6" x14ac:dyDescent="0.3">
      <c r="A38" t="s">
        <v>68</v>
      </c>
      <c r="B38" s="31" t="s">
        <v>253</v>
      </c>
      <c r="C38" t="s">
        <v>254</v>
      </c>
      <c r="D38" t="s">
        <v>252</v>
      </c>
      <c r="E38" t="s">
        <v>69</v>
      </c>
    </row>
    <row r="39" spans="1:6" x14ac:dyDescent="0.3">
      <c r="A39" t="s">
        <v>70</v>
      </c>
      <c r="B39" s="31" t="s">
        <v>372</v>
      </c>
      <c r="C39" t="s">
        <v>373</v>
      </c>
      <c r="D39" t="s">
        <v>373</v>
      </c>
      <c r="E39" t="s">
        <v>71</v>
      </c>
    </row>
    <row r="40" spans="1:6" x14ac:dyDescent="0.3">
      <c r="A40" t="s">
        <v>72</v>
      </c>
      <c r="B40" s="31" t="s">
        <v>374</v>
      </c>
      <c r="C40" t="s">
        <v>373</v>
      </c>
      <c r="D40" t="s">
        <v>373</v>
      </c>
      <c r="E40" t="s">
        <v>73</v>
      </c>
    </row>
    <row r="41" spans="1:6" x14ac:dyDescent="0.3">
      <c r="A41" t="s">
        <v>74</v>
      </c>
      <c r="B41" s="31" t="s">
        <v>294</v>
      </c>
      <c r="C41" t="s">
        <v>265</v>
      </c>
      <c r="D41" t="s">
        <v>265</v>
      </c>
      <c r="E41" t="s">
        <v>75</v>
      </c>
    </row>
    <row r="42" spans="1:6" x14ac:dyDescent="0.3">
      <c r="A42" t="s">
        <v>76</v>
      </c>
      <c r="B42" s="31" t="s">
        <v>375</v>
      </c>
      <c r="C42" t="s">
        <v>373</v>
      </c>
      <c r="D42" t="s">
        <v>376</v>
      </c>
      <c r="E42" t="s">
        <v>77</v>
      </c>
    </row>
    <row r="43" spans="1:6" x14ac:dyDescent="0.3">
      <c r="A43" t="s">
        <v>78</v>
      </c>
      <c r="B43" s="31" t="s">
        <v>377</v>
      </c>
      <c r="C43" t="s">
        <v>373</v>
      </c>
      <c r="D43" t="s">
        <v>373</v>
      </c>
      <c r="E43" t="s">
        <v>90</v>
      </c>
      <c r="F43" s="10" t="s">
        <v>202</v>
      </c>
    </row>
    <row r="44" spans="1:6" x14ac:dyDescent="0.3">
      <c r="A44" t="s">
        <v>79</v>
      </c>
      <c r="B44" s="31" t="s">
        <v>378</v>
      </c>
      <c r="C44" t="s">
        <v>373</v>
      </c>
      <c r="D44" t="s">
        <v>373</v>
      </c>
      <c r="E44" t="s">
        <v>166</v>
      </c>
    </row>
    <row r="45" spans="1:6" x14ac:dyDescent="0.3">
      <c r="A45" t="s">
        <v>80</v>
      </c>
      <c r="B45" s="31" t="s">
        <v>379</v>
      </c>
      <c r="C45" t="s">
        <v>373</v>
      </c>
      <c r="D45" t="s">
        <v>373</v>
      </c>
      <c r="E45" t="s">
        <v>198</v>
      </c>
      <c r="F45" t="s">
        <v>197</v>
      </c>
    </row>
    <row r="46" spans="1:6" x14ac:dyDescent="0.3">
      <c r="A46" t="s">
        <v>81</v>
      </c>
      <c r="B46" s="31" t="s">
        <v>291</v>
      </c>
      <c r="C46" t="s">
        <v>373</v>
      </c>
      <c r="D46" t="s">
        <v>373</v>
      </c>
      <c r="E46" t="s">
        <v>198</v>
      </c>
      <c r="F46" t="s">
        <v>197</v>
      </c>
    </row>
    <row r="47" spans="1:6" x14ac:dyDescent="0.3">
      <c r="A47" t="s">
        <v>82</v>
      </c>
      <c r="B47" s="31" t="s">
        <v>380</v>
      </c>
      <c r="C47" t="s">
        <v>373</v>
      </c>
      <c r="D47" t="s">
        <v>373</v>
      </c>
      <c r="E47" t="s">
        <v>167</v>
      </c>
    </row>
    <row r="48" spans="1:6" x14ac:dyDescent="0.3">
      <c r="A48" t="s">
        <v>83</v>
      </c>
      <c r="B48" s="31" t="s">
        <v>377</v>
      </c>
      <c r="C48" t="s">
        <v>373</v>
      </c>
      <c r="D48" t="s">
        <v>373</v>
      </c>
      <c r="E48" t="s">
        <v>168</v>
      </c>
    </row>
    <row r="49" spans="1:5" x14ac:dyDescent="0.3">
      <c r="A49" t="s">
        <v>84</v>
      </c>
      <c r="B49" s="31" t="s">
        <v>380</v>
      </c>
      <c r="C49" t="s">
        <v>373</v>
      </c>
      <c r="D49" t="s">
        <v>373</v>
      </c>
      <c r="E49" t="s">
        <v>169</v>
      </c>
    </row>
    <row r="50" spans="1:5" x14ac:dyDescent="0.3">
      <c r="A50" t="s">
        <v>85</v>
      </c>
      <c r="B50">
        <v>0</v>
      </c>
      <c r="C50" t="s">
        <v>265</v>
      </c>
      <c r="D50" t="s">
        <v>265</v>
      </c>
      <c r="E50" s="10" t="s">
        <v>170</v>
      </c>
    </row>
    <row r="51" spans="1:5" x14ac:dyDescent="0.3">
      <c r="A51" t="s">
        <v>87</v>
      </c>
      <c r="B51">
        <v>0</v>
      </c>
      <c r="C51" t="s">
        <v>265</v>
      </c>
      <c r="D51" t="s">
        <v>265</v>
      </c>
      <c r="E51" t="s">
        <v>95</v>
      </c>
    </row>
    <row r="52" spans="1:5" x14ac:dyDescent="0.3">
      <c r="A52" t="s">
        <v>27</v>
      </c>
      <c r="B52">
        <v>2</v>
      </c>
      <c r="C52" t="s">
        <v>265</v>
      </c>
      <c r="D52" t="s">
        <v>265</v>
      </c>
      <c r="E52" s="4" t="s">
        <v>143</v>
      </c>
    </row>
    <row r="56" spans="1:5" x14ac:dyDescent="0.3">
      <c r="A56" s="7" t="s">
        <v>171</v>
      </c>
      <c r="B56" s="7"/>
      <c r="C56" s="7"/>
      <c r="D56" s="7"/>
    </row>
  </sheetData>
  <pageMargins left="0.7" right="0.7" top="0.75" bottom="0.75" header="0.3" footer="0.3"/>
  <pageSetup orientation="portrait" r:id="rId1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371355-c639-4cb2-9408-17a432b02ae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7BB52D7F89544684D1485807D740CC" ma:contentTypeVersion="15" ma:contentTypeDescription="Crear nuevo documento." ma:contentTypeScope="" ma:versionID="7b5ae39f574dc4c1203b0990a1f6eb5c">
  <xsd:schema xmlns:xsd="http://www.w3.org/2001/XMLSchema" xmlns:xs="http://www.w3.org/2001/XMLSchema" xmlns:p="http://schemas.microsoft.com/office/2006/metadata/properties" xmlns:ns3="7b371355-c639-4cb2-9408-17a432b02aed" xmlns:ns4="df20a660-393e-4039-a377-452c2e652383" targetNamespace="http://schemas.microsoft.com/office/2006/metadata/properties" ma:root="true" ma:fieldsID="121db12ddace7147ce97212a3f0721ac" ns3:_="" ns4:_="">
    <xsd:import namespace="7b371355-c639-4cb2-9408-17a432b02aed"/>
    <xsd:import namespace="df20a660-393e-4039-a377-452c2e65238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DateTaken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371355-c639-4cb2-9408-17a432b02aed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a660-393e-4039-a377-452c2e65238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05A8DE-2B5B-4FC1-90EA-A0EE7CE31CEA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df20a660-393e-4039-a377-452c2e652383"/>
    <ds:schemaRef ds:uri="7b371355-c639-4cb2-9408-17a432b02aed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DB239E2-9A05-4AC9-815E-8C3C8ACD63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007372-19AB-45EE-81C2-72EC29B8A3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371355-c639-4cb2-9408-17a432b02aed"/>
    <ds:schemaRef ds:uri="df20a660-393e-4039-a377-452c2e6523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SEQUENCENUMBER</vt:lpstr>
      <vt:lpstr>InventoryReception</vt:lpstr>
      <vt:lpstr>InventoryFiscalDoc</vt:lpstr>
      <vt:lpstr>InventoryReturn</vt:lpstr>
      <vt:lpstr>InventoryAdjusment </vt:lpstr>
      <vt:lpstr>InventoryCount</vt:lpstr>
      <vt:lpstr>InventoryTransfer</vt:lpstr>
    </vt:vector>
  </TitlesOfParts>
  <Company>YPF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FERRARI, MARIANO OSCAR (Servicio Externo en YPF)</dc:creator>
  <cp:lastModifiedBy>Hernan Macera</cp:lastModifiedBy>
  <dcterms:created xsi:type="dcterms:W3CDTF">2026-02-04T14:13:19Z</dcterms:created>
  <dcterms:modified xsi:type="dcterms:W3CDTF">2026-05-19T22:48:53Z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01c5ec-e5b5-40ab-b632-dbf2eb8611fa_Enabled">
    <vt:lpwstr>true</vt:lpwstr>
  </property>
  <property fmtid="{D5CDD505-2E9C-101B-9397-08002B2CF9AE}" pid="3" name="MSIP_Label_b701c5ec-e5b5-40ab-b632-dbf2eb8611fa_SetDate">
    <vt:lpwstr>2026-02-04T15:07:40Z</vt:lpwstr>
  </property>
  <property fmtid="{D5CDD505-2E9C-101B-9397-08002B2CF9AE}" pid="4" name="MSIP_Label_b701c5ec-e5b5-40ab-b632-dbf2eb8611fa_Method">
    <vt:lpwstr>Privileged</vt:lpwstr>
  </property>
  <property fmtid="{D5CDD505-2E9C-101B-9397-08002B2CF9AE}" pid="5" name="MSIP_Label_b701c5ec-e5b5-40ab-b632-dbf2eb8611fa_Name">
    <vt:lpwstr>YPF - Privado</vt:lpwstr>
  </property>
  <property fmtid="{D5CDD505-2E9C-101B-9397-08002B2CF9AE}" pid="6" name="MSIP_Label_b701c5ec-e5b5-40ab-b632-dbf2eb8611fa_SiteId">
    <vt:lpwstr>038018c3-616c-4b46-ad9b-aa9007f701b5</vt:lpwstr>
  </property>
  <property fmtid="{D5CDD505-2E9C-101B-9397-08002B2CF9AE}" pid="7" name="MSIP_Label_b701c5ec-e5b5-40ab-b632-dbf2eb8611fa_ActionId">
    <vt:lpwstr>4bf5e367-d13c-4cef-b3ae-86c808fc745a</vt:lpwstr>
  </property>
  <property fmtid="{D5CDD505-2E9C-101B-9397-08002B2CF9AE}" pid="8" name="MSIP_Label_b701c5ec-e5b5-40ab-b632-dbf2eb8611fa_ContentBits">
    <vt:lpwstr>3</vt:lpwstr>
  </property>
  <property fmtid="{D5CDD505-2E9C-101B-9397-08002B2CF9AE}" pid="9" name="MSIP_Label_b701c5ec-e5b5-40ab-b632-dbf2eb8611fa_Tag">
    <vt:lpwstr>10, 0, 1, 1</vt:lpwstr>
  </property>
  <property fmtid="{D5CDD505-2E9C-101B-9397-08002B2CF9AE}" pid="10" name="ContentTypeId">
    <vt:lpwstr>0x010100E07BB52D7F89544684D1485807D740CC</vt:lpwstr>
  </property>
</Properties>
</file>